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areem\Downloads\"/>
    </mc:Choice>
  </mc:AlternateContent>
  <xr:revisionPtr revIDLastSave="0" documentId="8_{85E6F7EC-8DB3-4340-8D35-06176A2FB5CF}" xr6:coauthVersionLast="47" xr6:coauthVersionMax="47" xr10:uidLastSave="{00000000-0000-0000-0000-000000000000}"/>
  <bookViews>
    <workbookView xWindow="-108" yWindow="-108" windowWidth="23256" windowHeight="12576" activeTab="2" xr2:uid="{00000000-000D-0000-FFFF-FFFF00000000}"/>
  </bookViews>
  <sheets>
    <sheet name="Data" sheetId="2" r:id="rId1"/>
    <sheet name="Pivot Table" sheetId="4" r:id="rId2"/>
    <sheet name="Dashboards" sheetId="5" r:id="rId3"/>
  </sheets>
  <definedNames>
    <definedName name="ExternalData_1" localSheetId="0" hidden="1">Data!$A$1:$K$724</definedName>
    <definedName name="NativeTimeline_ExitDate">#N/A</definedName>
    <definedName name="Slicer_Department">#N/A</definedName>
    <definedName name="Slicer_Employee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B50" i="4"/>
  <c r="B36" i="4"/>
  <c r="B70" i="4"/>
  <c r="B24" i="4"/>
  <c r="C10" i="4"/>
  <c r="C9" i="4"/>
  <c r="C6" i="4"/>
  <c r="B5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1E63A7-AD7E-4A8E-8DF2-D0519BD14904}" keepAlive="1" name="Query - HR" description="Connection to the 'HR' query in the workbook." type="5" refreshedVersion="8" background="1" saveData="1">
    <dbPr connection="Provider=Microsoft.Mashup.OleDb.1;Data Source=$Workbook$;Location=HR;Extended Properties=&quot;&quot;" command="SELECT * FROM [HR]"/>
  </connection>
  <connection id="2" xr16:uid="{DC46F075-B412-4929-A485-472F934D20E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B922F084-6FB1-403A-B185-DBAA6B34464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39046D8B-6B6D-476C-A707-DAFBE14AD75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5E2CD6C0-9B46-42B5-B4DF-687F4EDFF36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<sst xmlns="http://schemas.openxmlformats.org/spreadsheetml/2006/main" count="1547" uniqueCount="41">
  <si>
    <t>Department</t>
  </si>
  <si>
    <t>HireDate</t>
  </si>
  <si>
    <t>ExitDate</t>
  </si>
  <si>
    <t>Salary</t>
  </si>
  <si>
    <t>PerformanceScore</t>
  </si>
  <si>
    <t>EngagementScore</t>
  </si>
  <si>
    <t>AbsentDays</t>
  </si>
  <si>
    <t>Marketing</t>
  </si>
  <si>
    <t>Still Working</t>
  </si>
  <si>
    <t>Finance</t>
  </si>
  <si>
    <t>It</t>
  </si>
  <si>
    <t>Ops</t>
  </si>
  <si>
    <t>Exited</t>
  </si>
  <si>
    <t>Hr</t>
  </si>
  <si>
    <t>Sales</t>
  </si>
  <si>
    <t>Row Labels</t>
  </si>
  <si>
    <t>Average of Salary</t>
  </si>
  <si>
    <t>EmployeeID</t>
  </si>
  <si>
    <t>Count of EmployeeID</t>
  </si>
  <si>
    <t>Column Labels</t>
  </si>
  <si>
    <t xml:space="preserve"> Employee Status</t>
  </si>
  <si>
    <t>Grand Total</t>
  </si>
  <si>
    <t>Count of  Employee Status</t>
  </si>
  <si>
    <t xml:space="preserve"> </t>
  </si>
  <si>
    <t>Average of PerformanceScore</t>
  </si>
  <si>
    <t>Average of EngagementScore</t>
  </si>
  <si>
    <t>Tenure</t>
  </si>
  <si>
    <t>2018</t>
  </si>
  <si>
    <t>2019</t>
  </si>
  <si>
    <t>2020</t>
  </si>
  <si>
    <t>2021</t>
  </si>
  <si>
    <t>2022</t>
  </si>
  <si>
    <t>2023</t>
  </si>
  <si>
    <t>2024</t>
  </si>
  <si>
    <t>2025</t>
  </si>
  <si>
    <t>2026</t>
  </si>
  <si>
    <t>2027</t>
  </si>
  <si>
    <t>2028</t>
  </si>
  <si>
    <t>Average of AbsentDays</t>
  </si>
  <si>
    <t>Average of Tenure</t>
  </si>
  <si>
    <t>Exit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</si>
</sst>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quot;$&quot;#,##0.00"/>
    <numFmt numFmtId="166" formatCode="0.0"/>
    <numFmt numFmtId="167" formatCode="0.0%"/>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64" fontId="0" fillId="0" borderId="0" xfId="0" applyNumberFormat="1"/>
    <xf numFmtId="165" fontId="0" fillId="0" borderId="0" xfId="0" applyNumberFormat="1"/>
    <xf numFmtId="165" fontId="0" fillId="0" borderId="0" xfId="0" pivotButton="1" applyNumberFormat="1"/>
    <xf numFmtId="165" fontId="0" fillId="0" borderId="0" xfId="0" applyNumberFormat="1" applyAlignment="1">
      <alignment horizontal="left"/>
    </xf>
    <xf numFmtId="2" fontId="0" fillId="0" borderId="0" xfId="0" applyNumberFormat="1"/>
    <xf numFmtId="166" fontId="0" fillId="0" borderId="0" xfId="0" applyNumberFormat="1"/>
    <xf numFmtId="10" fontId="0" fillId="0" borderId="0" xfId="1" applyNumberFormat="1" applyFont="1"/>
    <xf numFmtId="167" fontId="0" fillId="0" borderId="0" xfId="0" applyNumberFormat="1"/>
  </cellXfs>
  <cellStyles count="2">
    <cellStyle name="Normal" xfId="0" builtinId="0"/>
    <cellStyle name="Percent" xfId="1" builtinId="5"/>
  </cellStyles>
  <dxfs count="46">
    <dxf>
      <numFmt numFmtId="165" formatCode="&quot;$&quot;#,##0.00"/>
    </dxf>
    <dxf>
      <numFmt numFmtId="165" formatCode="&quot;$&quot;#,##0.00"/>
    </dxf>
    <dxf>
      <numFmt numFmtId="165" formatCode="&quot;$&quot;#,##0.00"/>
    </dxf>
    <dxf>
      <numFmt numFmtId="1" formatCode="0"/>
    </dxf>
    <dxf>
      <numFmt numFmtId="165" formatCode="&quot;$&quot;#,##0.00"/>
    </dxf>
    <dxf>
      <numFmt numFmtId="165" formatCode="&quot;$&quot;#,##0.00"/>
    </dxf>
    <dxf>
      <numFmt numFmtId="2" formatCode="0.00"/>
    </dxf>
    <dxf>
      <numFmt numFmtId="165" formatCode="&quot;$&quot;#,##0.00"/>
    </dxf>
    <dxf>
      <numFmt numFmtId="165" formatCode="&quot;$&quot;#,##0.00"/>
    </dxf>
    <dxf>
      <numFmt numFmtId="1" formatCode="0"/>
    </dxf>
    <dxf>
      <numFmt numFmtId="165" formatCode="&quot;$&quot;#,##0.00"/>
    </dxf>
    <dxf>
      <numFmt numFmtId="165" formatCode="&quot;$&quot;#,##0.00"/>
    </dxf>
    <dxf>
      <numFmt numFmtId="164" formatCode="&quot;$&quot;#,##0"/>
    </dxf>
    <dxf>
      <numFmt numFmtId="165" formatCode="&quot;$&quot;#,##0.00"/>
    </dxf>
    <dxf>
      <numFmt numFmtId="165" formatCode="&quot;$&quot;#,##0.00"/>
    </dxf>
    <dxf>
      <numFmt numFmtId="166" formatCode="0.0"/>
    </dxf>
    <dxf>
      <numFmt numFmtId="0" formatCode="General"/>
    </dxf>
    <dxf>
      <numFmt numFmtId="0" formatCode="General"/>
    </dxf>
    <dxf>
      <numFmt numFmtId="165" formatCode="&quot;$&quot;#,##0.00"/>
    </dxf>
    <dxf>
      <numFmt numFmtId="165" formatCode="&quot;$&quot;#,##0.00"/>
    </dxf>
    <dxf>
      <numFmt numFmtId="14" formatCode="0.00%"/>
    </dxf>
    <dxf>
      <numFmt numFmtId="14" formatCode="0.00%"/>
    </dxf>
    <dxf>
      <numFmt numFmtId="167" formatCode="0.0%"/>
    </dxf>
    <dxf>
      <numFmt numFmtId="2" formatCode="0.00"/>
    </dxf>
    <dxf>
      <numFmt numFmtId="165" formatCode="&quot;$&quot;#,##0.00"/>
    </dxf>
    <dxf>
      <numFmt numFmtId="165" formatCode="&quot;$&quot;#,##0.00"/>
    </dxf>
    <dxf>
      <numFmt numFmtId="1" formatCode="0"/>
    </dxf>
    <dxf>
      <numFmt numFmtId="165" formatCode="&quot;$&quot;#,##0.00"/>
    </dxf>
    <dxf>
      <numFmt numFmtId="165" formatCode="&quot;$&quot;#,##0.00"/>
    </dxf>
    <dxf>
      <numFmt numFmtId="165" formatCode="&quot;$&quot;#,##0.00"/>
    </dxf>
    <dxf>
      <numFmt numFmtId="165" formatCode="&quot;$&quot;#,##0.00"/>
    </dxf>
    <dxf>
      <numFmt numFmtId="165" formatCode="&quot;$&quot;#,##0.00"/>
    </dxf>
    <dxf>
      <numFmt numFmtId="166" formatCode="0.0"/>
    </dxf>
    <dxf>
      <numFmt numFmtId="165" formatCode="&quot;$&quot;#,##0.00"/>
    </dxf>
    <dxf>
      <numFmt numFmtId="165" formatCode="&quot;$&quot;#,##0.00"/>
    </dxf>
    <dxf>
      <numFmt numFmtId="1" formatCode="0"/>
    </dxf>
    <dxf>
      <numFmt numFmtId="2" formatCode="0.00"/>
    </dxf>
    <dxf>
      <numFmt numFmtId="2" formatCode="0.00"/>
    </dxf>
    <dxf>
      <numFmt numFmtId="164" formatCode="&quot;$&quot;#,##0"/>
    </dxf>
    <dxf>
      <numFmt numFmtId="1" formatCode="0"/>
    </dxf>
    <dxf>
      <numFmt numFmtId="166" formatCode="0.0"/>
    </dxf>
    <dxf>
      <numFmt numFmtId="0" formatCode="General"/>
    </dxf>
    <dxf>
      <numFmt numFmtId="168" formatCode="dd/mm/yy"/>
    </dxf>
    <dxf>
      <numFmt numFmtId="168" formatCode="dd/mm/yy"/>
    </dxf>
    <dxf>
      <numFmt numFmtId="0" formatCode="General"/>
    </dxf>
    <dxf>
      <numFmt numFmtId="1" formatCode="0"/>
    </dxf>
  </dxfs>
  <tableStyles count="1" defaultTableStyle="TableStyleMedium2" defaultPivotStyle="PivotStyleLight16">
    <tableStyle name="Invisible" pivot="0" table="0" count="0" xr9:uid="{B12C6269-1101-41D3-8EBB-02019F5ED35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[Tester.xlsx]Pivot Table!Attrition by Department</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 Attrition Rate by Department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pivotFmt>
      <c:pivotFmt>
        <c:idx val="14"/>
        <c:spPr>
          <a:solidFill>
            <a:srgbClr val="C00000"/>
          </a:solidFill>
          <a:ln>
            <a:noFill/>
          </a:ln>
          <a:effectLst/>
        </c:spPr>
        <c:dLbl>
          <c:idx val="0"/>
          <c:layout>
            <c:manualLayout>
              <c:x val="-3.3220049476947705E-2"/>
              <c:y val="-4.40148777218168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dLbl>
          <c:idx val="0"/>
          <c:layout>
            <c:manualLayout>
              <c:x val="-2.4915037107710779E-2"/>
              <c:y val="-4.40148777218184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00000"/>
          </a:solidFill>
          <a:ln>
            <a:noFill/>
          </a:ln>
          <a:effectLst/>
        </c:spPr>
        <c:dLbl>
          <c:idx val="0"/>
          <c:layout>
            <c:manualLayout>
              <c:x val="-2.214669965129846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dLbl>
          <c:idx val="0"/>
          <c:layout>
            <c:manualLayout>
              <c:x val="-3.3220049476947754E-2"/>
              <c:y val="-8.069301031745803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dLbl>
          <c:idx val="0"/>
          <c:layout>
            <c:manualLayout>
              <c:x val="-2.7683374564123189E-2"/>
              <c:y val="-8.069301031745803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dLbl>
          <c:idx val="0"/>
          <c:layout>
            <c:manualLayout>
              <c:x val="-3.322004947694770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Table'!$B$14:$B$15</c:f>
              <c:strCache>
                <c:ptCount val="1"/>
                <c:pt idx="0">
                  <c:v>Exited</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0-E3E4-4800-9C05-63718838369C}"/>
              </c:ext>
            </c:extLst>
          </c:dPt>
          <c:dPt>
            <c:idx val="1"/>
            <c:invertIfNegative val="0"/>
            <c:bubble3D val="0"/>
            <c:spPr>
              <a:solidFill>
                <a:srgbClr val="C00000"/>
              </a:solidFill>
              <a:ln>
                <a:noFill/>
              </a:ln>
              <a:effectLst/>
            </c:spPr>
            <c:extLst>
              <c:ext xmlns:c16="http://schemas.microsoft.com/office/drawing/2014/chart" uri="{C3380CC4-5D6E-409C-BE32-E72D297353CC}">
                <c16:uniqueId val="{00000001-E3E4-4800-9C05-63718838369C}"/>
              </c:ext>
            </c:extLst>
          </c:dPt>
          <c:dPt>
            <c:idx val="2"/>
            <c:invertIfNegative val="0"/>
            <c:bubble3D val="0"/>
            <c:spPr>
              <a:solidFill>
                <a:srgbClr val="C00000"/>
              </a:solidFill>
              <a:ln>
                <a:noFill/>
              </a:ln>
              <a:effectLst/>
            </c:spPr>
            <c:extLst>
              <c:ext xmlns:c16="http://schemas.microsoft.com/office/drawing/2014/chart" uri="{C3380CC4-5D6E-409C-BE32-E72D297353CC}">
                <c16:uniqueId val="{00000002-E3E4-4800-9C05-63718838369C}"/>
              </c:ext>
            </c:extLst>
          </c:dPt>
          <c:dPt>
            <c:idx val="3"/>
            <c:invertIfNegative val="0"/>
            <c:bubble3D val="0"/>
            <c:spPr>
              <a:solidFill>
                <a:srgbClr val="C00000"/>
              </a:solidFill>
              <a:ln>
                <a:noFill/>
              </a:ln>
              <a:effectLst/>
            </c:spPr>
            <c:extLst>
              <c:ext xmlns:c16="http://schemas.microsoft.com/office/drawing/2014/chart" uri="{C3380CC4-5D6E-409C-BE32-E72D297353CC}">
                <c16:uniqueId val="{00000003-E3E4-4800-9C05-63718838369C}"/>
              </c:ext>
            </c:extLst>
          </c:dPt>
          <c:dPt>
            <c:idx val="4"/>
            <c:invertIfNegative val="0"/>
            <c:bubble3D val="0"/>
            <c:spPr>
              <a:solidFill>
                <a:srgbClr val="C00000"/>
              </a:solidFill>
              <a:ln>
                <a:noFill/>
              </a:ln>
              <a:effectLst/>
            </c:spPr>
            <c:extLst>
              <c:ext xmlns:c16="http://schemas.microsoft.com/office/drawing/2014/chart" uri="{C3380CC4-5D6E-409C-BE32-E72D297353CC}">
                <c16:uniqueId val="{00000004-E3E4-4800-9C05-63718838369C}"/>
              </c:ext>
            </c:extLst>
          </c:dPt>
          <c:dPt>
            <c:idx val="5"/>
            <c:invertIfNegative val="0"/>
            <c:bubble3D val="0"/>
            <c:spPr>
              <a:solidFill>
                <a:srgbClr val="C00000"/>
              </a:solidFill>
              <a:ln>
                <a:noFill/>
              </a:ln>
              <a:effectLst/>
            </c:spPr>
            <c:extLst>
              <c:ext xmlns:c16="http://schemas.microsoft.com/office/drawing/2014/chart" uri="{C3380CC4-5D6E-409C-BE32-E72D297353CC}">
                <c16:uniqueId val="{00000005-E3E4-4800-9C05-63718838369C}"/>
              </c:ext>
            </c:extLst>
          </c:dPt>
          <c:dLbls>
            <c:dLbl>
              <c:idx val="0"/>
              <c:layout>
                <c:manualLayout>
                  <c:x val="-2.4915037107710779E-2"/>
                  <c:y val="-4.40148777218184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E4-4800-9C05-63718838369C}"/>
                </c:ext>
              </c:extLst>
            </c:dLbl>
            <c:dLbl>
              <c:idx val="1"/>
              <c:layout>
                <c:manualLayout>
                  <c:x val="-2.214669965129846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E4-4800-9C05-63718838369C}"/>
                </c:ext>
              </c:extLst>
            </c:dLbl>
            <c:dLbl>
              <c:idx val="2"/>
              <c:layout>
                <c:manualLayout>
                  <c:x val="-3.3220049476947754E-2"/>
                  <c:y val="-8.069301031745803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E4-4800-9C05-63718838369C}"/>
                </c:ext>
              </c:extLst>
            </c:dLbl>
            <c:dLbl>
              <c:idx val="3"/>
              <c:layout>
                <c:manualLayout>
                  <c:x val="-2.7683374564123189E-2"/>
                  <c:y val="-8.069301031745803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E4-4800-9C05-63718838369C}"/>
                </c:ext>
              </c:extLst>
            </c:dLbl>
            <c:dLbl>
              <c:idx val="4"/>
              <c:layout>
                <c:manualLayout>
                  <c:x val="-3.322004947694770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E4-4800-9C05-63718838369C}"/>
                </c:ext>
              </c:extLst>
            </c:dLbl>
            <c:dLbl>
              <c:idx val="5"/>
              <c:layout>
                <c:manualLayout>
                  <c:x val="-3.3220049476947705E-2"/>
                  <c:y val="-4.401487772181684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E4-4800-9C05-6371883836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Table'!$A$16:$A$21</c:f>
              <c:strCache>
                <c:ptCount val="6"/>
                <c:pt idx="0">
                  <c:v>Finance</c:v>
                </c:pt>
                <c:pt idx="1">
                  <c:v>It</c:v>
                </c:pt>
                <c:pt idx="2">
                  <c:v>Hr</c:v>
                </c:pt>
                <c:pt idx="3">
                  <c:v>Ops</c:v>
                </c:pt>
                <c:pt idx="4">
                  <c:v>Marketing</c:v>
                </c:pt>
                <c:pt idx="5">
                  <c:v>Sales</c:v>
                </c:pt>
              </c:strCache>
            </c:strRef>
          </c:cat>
          <c:val>
            <c:numRef>
              <c:f>'Pivot Table'!$B$16:$B$21</c:f>
              <c:numCache>
                <c:formatCode>0.00%</c:formatCode>
                <c:ptCount val="6"/>
                <c:pt idx="0">
                  <c:v>0.21739130434782608</c:v>
                </c:pt>
                <c:pt idx="1">
                  <c:v>0.25217391304347825</c:v>
                </c:pt>
                <c:pt idx="2">
                  <c:v>0.21551724137931033</c:v>
                </c:pt>
                <c:pt idx="3">
                  <c:v>0.27272727272727271</c:v>
                </c:pt>
                <c:pt idx="4">
                  <c:v>0.25196850393700787</c:v>
                </c:pt>
                <c:pt idx="5">
                  <c:v>0.22480620155038761</c:v>
                </c:pt>
              </c:numCache>
            </c:numRef>
          </c:val>
          <c:extLst>
            <c:ext xmlns:c16="http://schemas.microsoft.com/office/drawing/2014/chart" uri="{C3380CC4-5D6E-409C-BE32-E72D297353CC}">
              <c16:uniqueId val="{00000038-D7F7-4092-A73C-11F47D6D2723}"/>
            </c:ext>
          </c:extLst>
        </c:ser>
        <c:ser>
          <c:idx val="1"/>
          <c:order val="1"/>
          <c:tx>
            <c:strRef>
              <c:f>'Pivot Table'!$C$14:$C$15</c:f>
              <c:strCache>
                <c:ptCount val="1"/>
                <c:pt idx="0">
                  <c:v>Still Working</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Table'!$A$16:$A$21</c:f>
              <c:strCache>
                <c:ptCount val="6"/>
                <c:pt idx="0">
                  <c:v>Finance</c:v>
                </c:pt>
                <c:pt idx="1">
                  <c:v>It</c:v>
                </c:pt>
                <c:pt idx="2">
                  <c:v>Hr</c:v>
                </c:pt>
                <c:pt idx="3">
                  <c:v>Ops</c:v>
                </c:pt>
                <c:pt idx="4">
                  <c:v>Marketing</c:v>
                </c:pt>
                <c:pt idx="5">
                  <c:v>Sales</c:v>
                </c:pt>
              </c:strCache>
            </c:strRef>
          </c:cat>
          <c:val>
            <c:numRef>
              <c:f>'Pivot Table'!$C$16:$C$21</c:f>
              <c:numCache>
                <c:formatCode>0.0%</c:formatCode>
                <c:ptCount val="6"/>
                <c:pt idx="0">
                  <c:v>0.78260869565217395</c:v>
                </c:pt>
                <c:pt idx="1">
                  <c:v>0.74782608695652175</c:v>
                </c:pt>
                <c:pt idx="2">
                  <c:v>0.78448275862068961</c:v>
                </c:pt>
                <c:pt idx="3">
                  <c:v>0.72727272727272729</c:v>
                </c:pt>
                <c:pt idx="4">
                  <c:v>0.74803149606299213</c:v>
                </c:pt>
                <c:pt idx="5">
                  <c:v>0.77519379844961245</c:v>
                </c:pt>
              </c:numCache>
            </c:numRef>
          </c:val>
          <c:extLst>
            <c:ext xmlns:c16="http://schemas.microsoft.com/office/drawing/2014/chart" uri="{C3380CC4-5D6E-409C-BE32-E72D297353CC}">
              <c16:uniqueId val="{0000000D-2B75-4E17-82BF-02876F5E985D}"/>
            </c:ext>
          </c:extLst>
        </c:ser>
        <c:dLbls>
          <c:dLblPos val="outEnd"/>
          <c:showLegendKey val="0"/>
          <c:showVal val="1"/>
          <c:showCatName val="0"/>
          <c:showSerName val="0"/>
          <c:showPercent val="0"/>
          <c:showBubbleSize val="0"/>
        </c:dLbls>
        <c:gapWidth val="219"/>
        <c:overlap val="-27"/>
        <c:axId val="1183900351"/>
        <c:axId val="1183900831"/>
      </c:barChart>
      <c:catAx>
        <c:axId val="118390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00831"/>
        <c:crosses val="autoZero"/>
        <c:auto val="1"/>
        <c:lblAlgn val="ctr"/>
        <c:lblOffset val="100"/>
        <c:noMultiLvlLbl val="0"/>
      </c:catAx>
      <c:valAx>
        <c:axId val="11839008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003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[Tester.xlsx]Pivot Table!Avg Salary per Department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Table'!$B$26:$B$27</c:f>
              <c:strCache>
                <c:ptCount val="1"/>
                <c:pt idx="0">
                  <c:v>Exited</c:v>
                </c:pt>
              </c:strCache>
            </c:strRef>
          </c:tx>
          <c:spPr>
            <a:solidFill>
              <a:srgbClr val="C00000"/>
            </a:solidFill>
            <a:ln>
              <a:noFill/>
            </a:ln>
            <a:effectLst/>
          </c:spPr>
          <c:invertIfNegative val="0"/>
          <c:cat>
            <c:strRef>
              <c:f>'Pivot Table'!$A$28:$A$33</c:f>
              <c:strCache>
                <c:ptCount val="6"/>
                <c:pt idx="0">
                  <c:v>Finance</c:v>
                </c:pt>
                <c:pt idx="1">
                  <c:v>Hr</c:v>
                </c:pt>
                <c:pt idx="2">
                  <c:v>It</c:v>
                </c:pt>
                <c:pt idx="3">
                  <c:v>Marketing</c:v>
                </c:pt>
                <c:pt idx="4">
                  <c:v>Ops</c:v>
                </c:pt>
                <c:pt idx="5">
                  <c:v>Sales</c:v>
                </c:pt>
              </c:strCache>
            </c:strRef>
          </c:cat>
          <c:val>
            <c:numRef>
              <c:f>'Pivot Table'!$B$28:$B$33</c:f>
              <c:numCache>
                <c:formatCode>"$"#,##0</c:formatCode>
                <c:ptCount val="6"/>
                <c:pt idx="0">
                  <c:v>10312.68</c:v>
                </c:pt>
                <c:pt idx="1">
                  <c:v>8219.6</c:v>
                </c:pt>
                <c:pt idx="2">
                  <c:v>9417.310344827587</c:v>
                </c:pt>
                <c:pt idx="3">
                  <c:v>8422.59375</c:v>
                </c:pt>
                <c:pt idx="4">
                  <c:v>10157.212121212122</c:v>
                </c:pt>
                <c:pt idx="5">
                  <c:v>8405.3448275862065</c:v>
                </c:pt>
              </c:numCache>
            </c:numRef>
          </c:val>
          <c:extLst>
            <c:ext xmlns:c16="http://schemas.microsoft.com/office/drawing/2014/chart" uri="{C3380CC4-5D6E-409C-BE32-E72D297353CC}">
              <c16:uniqueId val="{00000013-B226-4534-B2F3-2027CB16A7F3}"/>
            </c:ext>
          </c:extLst>
        </c:ser>
        <c:ser>
          <c:idx val="1"/>
          <c:order val="1"/>
          <c:tx>
            <c:strRef>
              <c:f>'Pivot Table'!$C$26:$C$27</c:f>
              <c:strCache>
                <c:ptCount val="1"/>
                <c:pt idx="0">
                  <c:v>Still Working</c:v>
                </c:pt>
              </c:strCache>
            </c:strRef>
          </c:tx>
          <c:spPr>
            <a:solidFill>
              <a:srgbClr val="002060"/>
            </a:solidFill>
            <a:ln>
              <a:noFill/>
            </a:ln>
            <a:effectLst/>
          </c:spPr>
          <c:invertIfNegative val="0"/>
          <c:cat>
            <c:strRef>
              <c:f>'Pivot Table'!$A$28:$A$33</c:f>
              <c:strCache>
                <c:ptCount val="6"/>
                <c:pt idx="0">
                  <c:v>Finance</c:v>
                </c:pt>
                <c:pt idx="1">
                  <c:v>Hr</c:v>
                </c:pt>
                <c:pt idx="2">
                  <c:v>It</c:v>
                </c:pt>
                <c:pt idx="3">
                  <c:v>Marketing</c:v>
                </c:pt>
                <c:pt idx="4">
                  <c:v>Ops</c:v>
                </c:pt>
                <c:pt idx="5">
                  <c:v>Sales</c:v>
                </c:pt>
              </c:strCache>
            </c:strRef>
          </c:cat>
          <c:val>
            <c:numRef>
              <c:f>'Pivot Table'!$C$28:$C$33</c:f>
              <c:numCache>
                <c:formatCode>"$"#,##0</c:formatCode>
                <c:ptCount val="6"/>
                <c:pt idx="0">
                  <c:v>8977.1</c:v>
                </c:pt>
                <c:pt idx="1">
                  <c:v>8740.2527472527472</c:v>
                </c:pt>
                <c:pt idx="2">
                  <c:v>8502.9534883720935</c:v>
                </c:pt>
                <c:pt idx="3">
                  <c:v>8846.0210526315786</c:v>
                </c:pt>
                <c:pt idx="4">
                  <c:v>9242.204545454546</c:v>
                </c:pt>
                <c:pt idx="5">
                  <c:v>9047.5300000000007</c:v>
                </c:pt>
              </c:numCache>
            </c:numRef>
          </c:val>
          <c:extLst>
            <c:ext xmlns:c16="http://schemas.microsoft.com/office/drawing/2014/chart" uri="{C3380CC4-5D6E-409C-BE32-E72D297353CC}">
              <c16:uniqueId val="{00000001-7559-4A4F-8338-5D143886439E}"/>
            </c:ext>
          </c:extLst>
        </c:ser>
        <c:dLbls>
          <c:showLegendKey val="0"/>
          <c:showVal val="0"/>
          <c:showCatName val="0"/>
          <c:showSerName val="0"/>
          <c:showPercent val="0"/>
          <c:showBubbleSize val="0"/>
        </c:dLbls>
        <c:gapWidth val="219"/>
        <c:overlap val="-27"/>
        <c:axId val="1767478431"/>
        <c:axId val="1296954959"/>
      </c:barChart>
      <c:catAx>
        <c:axId val="176747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54959"/>
        <c:crosses val="autoZero"/>
        <c:auto val="1"/>
        <c:lblAlgn val="ctr"/>
        <c:lblOffset val="100"/>
        <c:noMultiLvlLbl val="0"/>
      </c:catAx>
      <c:valAx>
        <c:axId val="129695495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78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[Tester.xlsx]Pivot Table!Average of EngagementScore per ex</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s>
    <c:plotArea>
      <c:layout/>
      <c:barChart>
        <c:barDir val="col"/>
        <c:grouping val="clustered"/>
        <c:varyColors val="0"/>
        <c:ser>
          <c:idx val="0"/>
          <c:order val="0"/>
          <c:tx>
            <c:strRef>
              <c:f>'Pivot Table'!$B$52</c:f>
              <c:strCache>
                <c:ptCount val="1"/>
                <c:pt idx="0">
                  <c:v>Total</c:v>
                </c:pt>
              </c:strCache>
            </c:strRef>
          </c:tx>
          <c:spPr>
            <a:solidFill>
              <a:srgbClr val="00206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BF28-4ECC-86F0-190092DA4D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Table'!$A$53:$A$54</c:f>
              <c:strCache>
                <c:ptCount val="2"/>
                <c:pt idx="0">
                  <c:v>Exited</c:v>
                </c:pt>
                <c:pt idx="1">
                  <c:v>Still Working</c:v>
                </c:pt>
              </c:strCache>
            </c:strRef>
          </c:cat>
          <c:val>
            <c:numRef>
              <c:f>'Pivot Table'!$B$53:$B$54</c:f>
              <c:numCache>
                <c:formatCode>"$"#,##0.00</c:formatCode>
                <c:ptCount val="2"/>
                <c:pt idx="0">
                  <c:v>3.0065317919075136</c:v>
                </c:pt>
                <c:pt idx="1">
                  <c:v>2.9493636363636369</c:v>
                </c:pt>
              </c:numCache>
            </c:numRef>
          </c:val>
          <c:extLst>
            <c:ext xmlns:c16="http://schemas.microsoft.com/office/drawing/2014/chart" uri="{C3380CC4-5D6E-409C-BE32-E72D297353CC}">
              <c16:uniqueId val="{00000005-6A89-4139-A6E3-11C77F8DC392}"/>
            </c:ext>
          </c:extLst>
        </c:ser>
        <c:dLbls>
          <c:dLblPos val="outEnd"/>
          <c:showLegendKey val="0"/>
          <c:showVal val="1"/>
          <c:showCatName val="0"/>
          <c:showSerName val="0"/>
          <c:showPercent val="0"/>
          <c:showBubbleSize val="0"/>
        </c:dLbls>
        <c:gapWidth val="219"/>
        <c:overlap val="-27"/>
        <c:axId val="1183954111"/>
        <c:axId val="1183938751"/>
      </c:barChart>
      <c:catAx>
        <c:axId val="118395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38751"/>
        <c:crosses val="autoZero"/>
        <c:auto val="1"/>
        <c:lblAlgn val="ctr"/>
        <c:lblOffset val="100"/>
        <c:noMultiLvlLbl val="0"/>
      </c:catAx>
      <c:valAx>
        <c:axId val="118393875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5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[Tester.xlsx]Pivot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Absence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pivotFmt>
    </c:pivotFmts>
    <c:plotArea>
      <c:layout/>
      <c:barChart>
        <c:barDir val="col"/>
        <c:grouping val="clustered"/>
        <c:varyColors val="0"/>
        <c:ser>
          <c:idx val="0"/>
          <c:order val="0"/>
          <c:tx>
            <c:strRef>
              <c:f>'Pivot Table'!$B$59</c:f>
              <c:strCache>
                <c:ptCount val="1"/>
                <c:pt idx="0">
                  <c:v>Total</c:v>
                </c:pt>
              </c:strCache>
            </c:strRef>
          </c:tx>
          <c:spPr>
            <a:solidFill>
              <a:srgbClr val="C00000"/>
            </a:solidFill>
            <a:ln>
              <a:noFill/>
            </a:ln>
            <a:effectLst/>
          </c:spPr>
          <c:invertIfNegative val="0"/>
          <c:dPt>
            <c:idx val="1"/>
            <c:invertIfNegative val="0"/>
            <c:bubble3D val="0"/>
            <c:spPr>
              <a:solidFill>
                <a:srgbClr val="002060"/>
              </a:solidFill>
              <a:ln>
                <a:noFill/>
              </a:ln>
              <a:effectLst/>
            </c:spPr>
            <c:extLst>
              <c:ext xmlns:c16="http://schemas.microsoft.com/office/drawing/2014/chart" uri="{C3380CC4-5D6E-409C-BE32-E72D297353CC}">
                <c16:uniqueId val="{00000001-9E8B-4B3F-9964-A90C200EA4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Table'!$A$60:$A$61</c:f>
              <c:strCache>
                <c:ptCount val="2"/>
                <c:pt idx="0">
                  <c:v>Exited</c:v>
                </c:pt>
                <c:pt idx="1">
                  <c:v>Still Working</c:v>
                </c:pt>
              </c:strCache>
            </c:strRef>
          </c:cat>
          <c:val>
            <c:numRef>
              <c:f>'Pivot Table'!$B$60:$B$61</c:f>
              <c:numCache>
                <c:formatCode>0.0</c:formatCode>
                <c:ptCount val="2"/>
                <c:pt idx="0">
                  <c:v>15.497109826589595</c:v>
                </c:pt>
                <c:pt idx="1">
                  <c:v>14.803636363636363</c:v>
                </c:pt>
              </c:numCache>
            </c:numRef>
          </c:val>
          <c:extLst>
            <c:ext xmlns:c16="http://schemas.microsoft.com/office/drawing/2014/chart" uri="{C3380CC4-5D6E-409C-BE32-E72D297353CC}">
              <c16:uniqueId val="{00000005-72A6-4CDB-9F57-934CF516BAC5}"/>
            </c:ext>
          </c:extLst>
        </c:ser>
        <c:dLbls>
          <c:dLblPos val="outEnd"/>
          <c:showLegendKey val="0"/>
          <c:showVal val="1"/>
          <c:showCatName val="0"/>
          <c:showSerName val="0"/>
          <c:showPercent val="0"/>
          <c:showBubbleSize val="0"/>
        </c:dLbls>
        <c:gapWidth val="219"/>
        <c:overlap val="-27"/>
        <c:axId val="1183991551"/>
        <c:axId val="1183992031"/>
      </c:barChart>
      <c:catAx>
        <c:axId val="118399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92031"/>
        <c:crosses val="autoZero"/>
        <c:auto val="1"/>
        <c:lblAlgn val="ctr"/>
        <c:lblOffset val="100"/>
        <c:noMultiLvlLbl val="0"/>
      </c:catAx>
      <c:valAx>
        <c:axId val="118399203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9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[Tester.xlsx]Pivot Table!PivotTable15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Table'!$G$4</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Table'!$F$5:$F$16</c:f>
              <c:strCache>
                <c:ptCount val="11"/>
                <c:pt idx="0">
                  <c:v>2018</c:v>
                </c:pt>
                <c:pt idx="1">
                  <c:v>2019</c:v>
                </c:pt>
                <c:pt idx="2">
                  <c:v>2020</c:v>
                </c:pt>
                <c:pt idx="3">
                  <c:v>2021</c:v>
                </c:pt>
                <c:pt idx="4">
                  <c:v>2022</c:v>
                </c:pt>
                <c:pt idx="5">
                  <c:v>2023</c:v>
                </c:pt>
                <c:pt idx="6">
                  <c:v>2024</c:v>
                </c:pt>
                <c:pt idx="7">
                  <c:v>2025</c:v>
                </c:pt>
                <c:pt idx="8">
                  <c:v>2026</c:v>
                </c:pt>
                <c:pt idx="9">
                  <c:v>2027</c:v>
                </c:pt>
                <c:pt idx="10">
                  <c:v>2028</c:v>
                </c:pt>
              </c:strCache>
            </c:strRef>
          </c:cat>
          <c:val>
            <c:numRef>
              <c:f>'Pivot Table'!$G$5:$G$16</c:f>
              <c:numCache>
                <c:formatCode>General</c:formatCode>
                <c:ptCount val="11"/>
                <c:pt idx="0">
                  <c:v>3</c:v>
                </c:pt>
                <c:pt idx="1">
                  <c:v>9</c:v>
                </c:pt>
                <c:pt idx="2">
                  <c:v>11</c:v>
                </c:pt>
                <c:pt idx="3">
                  <c:v>24</c:v>
                </c:pt>
                <c:pt idx="4">
                  <c:v>25</c:v>
                </c:pt>
                <c:pt idx="5">
                  <c:v>29</c:v>
                </c:pt>
                <c:pt idx="6">
                  <c:v>25</c:v>
                </c:pt>
                <c:pt idx="7">
                  <c:v>16</c:v>
                </c:pt>
                <c:pt idx="8">
                  <c:v>16</c:v>
                </c:pt>
                <c:pt idx="9">
                  <c:v>14</c:v>
                </c:pt>
                <c:pt idx="10">
                  <c:v>1</c:v>
                </c:pt>
              </c:numCache>
            </c:numRef>
          </c:val>
          <c:smooth val="0"/>
          <c:extLst>
            <c:ext xmlns:c16="http://schemas.microsoft.com/office/drawing/2014/chart" uri="{C3380CC4-5D6E-409C-BE32-E72D297353CC}">
              <c16:uniqueId val="{00000000-B7BA-42CB-BE1E-1C65C6B73312}"/>
            </c:ext>
          </c:extLst>
        </c:ser>
        <c:dLbls>
          <c:dLblPos val="t"/>
          <c:showLegendKey val="0"/>
          <c:showVal val="1"/>
          <c:showCatName val="0"/>
          <c:showSerName val="0"/>
          <c:showPercent val="0"/>
          <c:showBubbleSize val="0"/>
        </c:dLbls>
        <c:smooth val="0"/>
        <c:axId val="1183966111"/>
        <c:axId val="1183957471"/>
      </c:lineChart>
      <c:catAx>
        <c:axId val="118396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57471"/>
        <c:crosses val="autoZero"/>
        <c:auto val="1"/>
        <c:lblAlgn val="ctr"/>
        <c:lblOffset val="100"/>
        <c:noMultiLvlLbl val="0"/>
      </c:catAx>
      <c:valAx>
        <c:axId val="118395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6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[Tester.xlsx]Pivot Table!Average of PerformanceScore per ex</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C00000"/>
          </a:solidFill>
          <a:ln>
            <a:noFill/>
          </a:ln>
          <a:effectLst/>
        </c:spPr>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Table'!$B$38:$B$39</c:f>
              <c:strCache>
                <c:ptCount val="1"/>
                <c:pt idx="0">
                  <c:v>Exited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Table'!$A$40:$A$45</c:f>
              <c:strCache>
                <c:ptCount val="6"/>
                <c:pt idx="0">
                  <c:v>Finance</c:v>
                </c:pt>
                <c:pt idx="1">
                  <c:v>Hr</c:v>
                </c:pt>
                <c:pt idx="2">
                  <c:v>It</c:v>
                </c:pt>
                <c:pt idx="3">
                  <c:v>Marketing</c:v>
                </c:pt>
                <c:pt idx="4">
                  <c:v>Ops</c:v>
                </c:pt>
                <c:pt idx="5">
                  <c:v>Sales</c:v>
                </c:pt>
              </c:strCache>
            </c:strRef>
          </c:cat>
          <c:val>
            <c:numRef>
              <c:f>'Pivot Table'!$B$40:$B$45</c:f>
              <c:numCache>
                <c:formatCode>0.0</c:formatCode>
                <c:ptCount val="6"/>
                <c:pt idx="0">
                  <c:v>3.4404000000000003</c:v>
                </c:pt>
                <c:pt idx="1">
                  <c:v>3.3136000000000001</c:v>
                </c:pt>
                <c:pt idx="2">
                  <c:v>3.3575862068965523</c:v>
                </c:pt>
                <c:pt idx="3">
                  <c:v>3.4393749999999996</c:v>
                </c:pt>
                <c:pt idx="4">
                  <c:v>3.3099999999999992</c:v>
                </c:pt>
                <c:pt idx="5">
                  <c:v>3.4813793103448272</c:v>
                </c:pt>
              </c:numCache>
            </c:numRef>
          </c:val>
          <c:extLst>
            <c:ext xmlns:c16="http://schemas.microsoft.com/office/drawing/2014/chart" uri="{C3380CC4-5D6E-409C-BE32-E72D297353CC}">
              <c16:uniqueId val="{00000005-832B-4F51-9936-5E6E90FAF990}"/>
            </c:ext>
          </c:extLst>
        </c:ser>
        <c:ser>
          <c:idx val="1"/>
          <c:order val="1"/>
          <c:tx>
            <c:strRef>
              <c:f>'Pivot Table'!$C$38:$C$39</c:f>
              <c:strCache>
                <c:ptCount val="1"/>
                <c:pt idx="0">
                  <c:v>Still Working</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Table'!$A$40:$A$45</c:f>
              <c:strCache>
                <c:ptCount val="6"/>
                <c:pt idx="0">
                  <c:v>Finance</c:v>
                </c:pt>
                <c:pt idx="1">
                  <c:v>Hr</c:v>
                </c:pt>
                <c:pt idx="2">
                  <c:v>It</c:v>
                </c:pt>
                <c:pt idx="3">
                  <c:v>Marketing</c:v>
                </c:pt>
                <c:pt idx="4">
                  <c:v>Ops</c:v>
                </c:pt>
                <c:pt idx="5">
                  <c:v>Sales</c:v>
                </c:pt>
              </c:strCache>
            </c:strRef>
          </c:cat>
          <c:val>
            <c:numRef>
              <c:f>'Pivot Table'!$C$40:$C$45</c:f>
              <c:numCache>
                <c:formatCode>0.0</c:formatCode>
                <c:ptCount val="6"/>
                <c:pt idx="0">
                  <c:v>3.5259999999999989</c:v>
                </c:pt>
                <c:pt idx="1">
                  <c:v>3.4082417582417586</c:v>
                </c:pt>
                <c:pt idx="2">
                  <c:v>3.3530232558139543</c:v>
                </c:pt>
                <c:pt idx="3">
                  <c:v>3.4662105263157872</c:v>
                </c:pt>
                <c:pt idx="4">
                  <c:v>3.4631818181818188</c:v>
                </c:pt>
                <c:pt idx="5">
                  <c:v>3.6549999999999998</c:v>
                </c:pt>
              </c:numCache>
            </c:numRef>
          </c:val>
          <c:extLst>
            <c:ext xmlns:c16="http://schemas.microsoft.com/office/drawing/2014/chart" uri="{C3380CC4-5D6E-409C-BE32-E72D297353CC}">
              <c16:uniqueId val="{00000001-DC3D-43EB-A4FD-139B6A12FB6B}"/>
            </c:ext>
          </c:extLst>
        </c:ser>
        <c:dLbls>
          <c:dLblPos val="outEnd"/>
          <c:showLegendKey val="0"/>
          <c:showVal val="1"/>
          <c:showCatName val="0"/>
          <c:showSerName val="0"/>
          <c:showPercent val="0"/>
          <c:showBubbleSize val="0"/>
        </c:dLbls>
        <c:gapWidth val="219"/>
        <c:overlap val="-27"/>
        <c:axId val="1296932879"/>
        <c:axId val="1296921359"/>
      </c:barChart>
      <c:catAx>
        <c:axId val="129693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21359"/>
        <c:crosses val="autoZero"/>
        <c:auto val="1"/>
        <c:lblAlgn val="ctr"/>
        <c:lblOffset val="100"/>
        <c:noMultiLvlLbl val="0"/>
      </c:catAx>
      <c:valAx>
        <c:axId val="12969213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3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microsoft.com/office/2007/relationships/hdphoto" Target="../media/hdphoto1.wdp"/><Relationship Id="rId7" Type="http://schemas.openxmlformats.org/officeDocument/2006/relationships/image" Target="../media/image6.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image" Target="../media/image4.png"/><Relationship Id="rId15" Type="http://schemas.microsoft.com/office/2007/relationships/hdphoto" Target="../media/hdphoto2.wdp"/><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chart" Target="../charts/chart2.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274320</xdr:colOff>
      <xdr:row>0</xdr:row>
      <xdr:rowOff>132080</xdr:rowOff>
    </xdr:from>
    <xdr:to>
      <xdr:col>30</xdr:col>
      <xdr:colOff>406400</xdr:colOff>
      <xdr:row>36</xdr:row>
      <xdr:rowOff>40640</xdr:rowOff>
    </xdr:to>
    <xdr:sp macro="" textlink="">
      <xdr:nvSpPr>
        <xdr:cNvPr id="5" name="Rectangle 4">
          <a:extLst>
            <a:ext uri="{FF2B5EF4-FFF2-40B4-BE49-F238E27FC236}">
              <a16:creationId xmlns:a16="http://schemas.microsoft.com/office/drawing/2014/main" id="{79B2F746-3EF6-42C5-951E-5BFDA4716557}"/>
            </a:ext>
          </a:extLst>
        </xdr:cNvPr>
        <xdr:cNvSpPr/>
      </xdr:nvSpPr>
      <xdr:spPr>
        <a:xfrm>
          <a:off x="274320" y="132080"/>
          <a:ext cx="18420080" cy="6570617"/>
        </a:xfrm>
        <a:prstGeom prst="rect">
          <a:avLst/>
        </a:prstGeom>
        <a:solidFill>
          <a:schemeClr val="bg1">
            <a:lumMod val="95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363022</xdr:colOff>
      <xdr:row>15</xdr:row>
      <xdr:rowOff>159525</xdr:rowOff>
    </xdr:from>
    <xdr:to>
      <xdr:col>5</xdr:col>
      <xdr:colOff>0</xdr:colOff>
      <xdr:row>21</xdr:row>
      <xdr:rowOff>53340</xdr:rowOff>
    </xdr:to>
    <mc:AlternateContent xmlns:mc="http://schemas.openxmlformats.org/markup-compatibility/2006" xmlns:a14="http://schemas.microsoft.com/office/drawing/2010/main">
      <mc:Choice Requires="a14">
        <xdr:graphicFrame macro="">
          <xdr:nvGraphicFramePr>
            <xdr:cNvPr id="71" name="Department">
              <a:extLst>
                <a:ext uri="{FF2B5EF4-FFF2-40B4-BE49-F238E27FC236}">
                  <a16:creationId xmlns:a16="http://schemas.microsoft.com/office/drawing/2014/main" id="{87EF5A69-5ED7-E007-B9D6-E1D5486BECB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63022" y="2902725"/>
              <a:ext cx="2684978" cy="991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370642</xdr:colOff>
      <xdr:row>21</xdr:row>
      <xdr:rowOff>1</xdr:rowOff>
    </xdr:from>
    <xdr:to>
      <xdr:col>5</xdr:col>
      <xdr:colOff>0</xdr:colOff>
      <xdr:row>23</xdr:row>
      <xdr:rowOff>76201</xdr:rowOff>
    </xdr:to>
    <mc:AlternateContent xmlns:mc="http://schemas.openxmlformats.org/markup-compatibility/2006" xmlns:a14="http://schemas.microsoft.com/office/drawing/2010/main">
      <mc:Choice Requires="a14">
        <xdr:graphicFrame macro="">
          <xdr:nvGraphicFramePr>
            <xdr:cNvPr id="72" name=" Employee Status">
              <a:extLst>
                <a:ext uri="{FF2B5EF4-FFF2-40B4-BE49-F238E27FC236}">
                  <a16:creationId xmlns:a16="http://schemas.microsoft.com/office/drawing/2014/main" id="{B919F860-144F-19A5-ED4B-4212323CD2B3}"/>
                </a:ext>
              </a:extLst>
            </xdr:cNvPr>
            <xdr:cNvGraphicFramePr/>
          </xdr:nvGraphicFramePr>
          <xdr:xfrm>
            <a:off x="0" y="0"/>
            <a:ext cx="0" cy="0"/>
          </xdr:xfrm>
          <a:graphic>
            <a:graphicData uri="http://schemas.microsoft.com/office/drawing/2010/slicer">
              <sle:slicer xmlns:sle="http://schemas.microsoft.com/office/drawing/2010/slicer" name=" Employee Status"/>
            </a:graphicData>
          </a:graphic>
        </xdr:graphicFrame>
      </mc:Choice>
      <mc:Fallback xmlns="">
        <xdr:sp macro="" textlink="">
          <xdr:nvSpPr>
            <xdr:cNvPr id="0" name=""/>
            <xdr:cNvSpPr>
              <a:spLocks noTextEdit="1"/>
            </xdr:cNvSpPr>
          </xdr:nvSpPr>
          <xdr:spPr>
            <a:xfrm>
              <a:off x="370642" y="3840481"/>
              <a:ext cx="2677358" cy="441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295536</xdr:colOff>
      <xdr:row>2</xdr:row>
      <xdr:rowOff>100</xdr:rowOff>
    </xdr:from>
    <xdr:to>
      <xdr:col>28</xdr:col>
      <xdr:colOff>146573</xdr:colOff>
      <xdr:row>6</xdr:row>
      <xdr:rowOff>116684</xdr:rowOff>
    </xdr:to>
    <xdr:grpSp>
      <xdr:nvGrpSpPr>
        <xdr:cNvPr id="76" name="Group 75">
          <a:extLst>
            <a:ext uri="{FF2B5EF4-FFF2-40B4-BE49-F238E27FC236}">
              <a16:creationId xmlns:a16="http://schemas.microsoft.com/office/drawing/2014/main" id="{F6194647-2136-4E32-AEFC-FD663B36BA85}"/>
            </a:ext>
          </a:extLst>
        </xdr:cNvPr>
        <xdr:cNvGrpSpPr/>
      </xdr:nvGrpSpPr>
      <xdr:grpSpPr>
        <a:xfrm>
          <a:off x="1514736" y="365860"/>
          <a:ext cx="15700637" cy="848104"/>
          <a:chOff x="1514736" y="360318"/>
          <a:chExt cx="15700637" cy="837021"/>
        </a:xfrm>
      </xdr:grpSpPr>
      <xdr:grpSp>
        <xdr:nvGrpSpPr>
          <xdr:cNvPr id="63" name="Group 62">
            <a:extLst>
              <a:ext uri="{FF2B5EF4-FFF2-40B4-BE49-F238E27FC236}">
                <a16:creationId xmlns:a16="http://schemas.microsoft.com/office/drawing/2014/main" id="{00A7F6DF-7811-7A40-879A-6C288BA9CDE2}"/>
              </a:ext>
            </a:extLst>
          </xdr:cNvPr>
          <xdr:cNvGrpSpPr/>
        </xdr:nvGrpSpPr>
        <xdr:grpSpPr>
          <a:xfrm>
            <a:off x="1514736" y="360318"/>
            <a:ext cx="15700637" cy="837021"/>
            <a:chOff x="569196" y="437112"/>
            <a:chExt cx="15700637" cy="858990"/>
          </a:xfrm>
          <a:effectLst>
            <a:outerShdw blurRad="50800" dist="38100" dir="2700000" algn="tl" rotWithShape="0">
              <a:prstClr val="black">
                <a:alpha val="40000"/>
              </a:prstClr>
            </a:outerShdw>
          </a:effectLst>
        </xdr:grpSpPr>
        <xdr:grpSp>
          <xdr:nvGrpSpPr>
            <xdr:cNvPr id="9" name="Group 8">
              <a:extLst>
                <a:ext uri="{FF2B5EF4-FFF2-40B4-BE49-F238E27FC236}">
                  <a16:creationId xmlns:a16="http://schemas.microsoft.com/office/drawing/2014/main" id="{153A187B-8B94-569E-955D-AA78732ECCE0}"/>
                </a:ext>
              </a:extLst>
            </xdr:cNvPr>
            <xdr:cNvGrpSpPr/>
          </xdr:nvGrpSpPr>
          <xdr:grpSpPr>
            <a:xfrm>
              <a:off x="569196" y="437112"/>
              <a:ext cx="2334987" cy="803366"/>
              <a:chOff x="573172" y="695593"/>
              <a:chExt cx="2334987" cy="807909"/>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2" name="Rectangle 1">
                <a:extLst>
                  <a:ext uri="{FF2B5EF4-FFF2-40B4-BE49-F238E27FC236}">
                    <a16:creationId xmlns:a16="http://schemas.microsoft.com/office/drawing/2014/main" id="{9F6429E2-7F15-5380-6B77-341F0859D0B9}"/>
                  </a:ext>
                </a:extLst>
              </xdr:cNvPr>
              <xdr:cNvSpPr/>
            </xdr:nvSpPr>
            <xdr:spPr>
              <a:xfrm>
                <a:off x="573172" y="695593"/>
                <a:ext cx="2334987" cy="807909"/>
              </a:xfrm>
              <a:prstGeom prst="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135225B3-D19E-431C-9101-53E286357A46}"/>
                  </a:ext>
                </a:extLst>
              </xdr:cNvPr>
              <xdr:cNvSpPr txBox="1"/>
            </xdr:nvSpPr>
            <xdr:spPr>
              <a:xfrm>
                <a:off x="1281835" y="761760"/>
                <a:ext cx="1607581" cy="3763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Employees</a:t>
                </a:r>
                <a:endParaRPr lang="en-US" sz="1600" b="1"/>
              </a:p>
            </xdr:txBody>
          </xdr:sp>
          <xdr:sp macro="" textlink="'Pivot Table'!C6">
            <xdr:nvSpPr>
              <xdr:cNvPr id="6" name="TextBox 5">
                <a:extLst>
                  <a:ext uri="{FF2B5EF4-FFF2-40B4-BE49-F238E27FC236}">
                    <a16:creationId xmlns:a16="http://schemas.microsoft.com/office/drawing/2014/main" id="{7DF968A6-1848-7290-7053-8D7CE2D4951B}"/>
                  </a:ext>
                </a:extLst>
              </xdr:cNvPr>
              <xdr:cNvSpPr txBox="1"/>
            </xdr:nvSpPr>
            <xdr:spPr>
              <a:xfrm>
                <a:off x="1281834" y="1146265"/>
                <a:ext cx="1616109" cy="339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3A6A89-4209-470A-AE1A-E636D5B6A27F}" type="TxLink">
                  <a:rPr lang="en-US" sz="1600" b="1" i="0" u="none" strike="noStrike">
                    <a:solidFill>
                      <a:srgbClr val="000000"/>
                    </a:solidFill>
                    <a:latin typeface="Calibri"/>
                    <a:ea typeface="Calibri"/>
                    <a:cs typeface="Calibri"/>
                  </a:rPr>
                  <a:pPr algn="ctr"/>
                  <a:t>723</a:t>
                </a:fld>
                <a:endParaRPr lang="en-US" sz="1600" b="1"/>
              </a:p>
            </xdr:txBody>
          </xdr:sp>
          <xdr:pic>
            <xdr:nvPicPr>
              <xdr:cNvPr id="7" name="Picture 6">
                <a:extLst>
                  <a:ext uri="{FF2B5EF4-FFF2-40B4-BE49-F238E27FC236}">
                    <a16:creationId xmlns:a16="http://schemas.microsoft.com/office/drawing/2014/main" id="{E81FDD2F-D084-7DEB-A55E-F5D3103787F9}"/>
                  </a:ext>
                </a:extLst>
              </xdr:cNvPr>
              <xdr:cNvPicPr>
                <a:picLocks noChangeAspect="1"/>
              </xdr:cNvPicPr>
            </xdr:nvPicPr>
            <xdr:blipFill>
              <a:blip xmlns:r="http://schemas.openxmlformats.org/officeDocument/2006/relationships" r:embed="rId1">
                <a:duotone>
                  <a:schemeClr val="accent1">
                    <a:shade val="45000"/>
                    <a:satMod val="135000"/>
                  </a:schemeClr>
                  <a:prstClr val="white"/>
                </a:duotone>
              </a:blip>
              <a:stretch>
                <a:fillRect/>
              </a:stretch>
            </xdr:blipFill>
            <xdr:spPr>
              <a:xfrm>
                <a:off x="590757" y="701088"/>
                <a:ext cx="679984" cy="682377"/>
              </a:xfrm>
              <a:prstGeom prst="rect">
                <a:avLst/>
              </a:prstGeom>
              <a:ln>
                <a:noFill/>
              </a:ln>
            </xdr:spPr>
          </xdr:pic>
        </xdr:grpSp>
        <xdr:grpSp>
          <xdr:nvGrpSpPr>
            <xdr:cNvPr id="18" name="Group 17">
              <a:extLst>
                <a:ext uri="{FF2B5EF4-FFF2-40B4-BE49-F238E27FC236}">
                  <a16:creationId xmlns:a16="http://schemas.microsoft.com/office/drawing/2014/main" id="{85C74A5D-755F-BD28-7E42-44A8D3A81B91}"/>
                </a:ext>
              </a:extLst>
            </xdr:cNvPr>
            <xdr:cNvGrpSpPr/>
          </xdr:nvGrpSpPr>
          <xdr:grpSpPr>
            <a:xfrm>
              <a:off x="3323282" y="447998"/>
              <a:ext cx="2334987" cy="803234"/>
              <a:chOff x="573172" y="695593"/>
              <a:chExt cx="2334987" cy="807909"/>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19" name="Rectangle 18">
                <a:extLst>
                  <a:ext uri="{FF2B5EF4-FFF2-40B4-BE49-F238E27FC236}">
                    <a16:creationId xmlns:a16="http://schemas.microsoft.com/office/drawing/2014/main" id="{00A21C20-E8C2-FB7E-3728-881FA3C63606}"/>
                  </a:ext>
                </a:extLst>
              </xdr:cNvPr>
              <xdr:cNvSpPr/>
            </xdr:nvSpPr>
            <xdr:spPr>
              <a:xfrm>
                <a:off x="573172" y="695593"/>
                <a:ext cx="2334987" cy="807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600" b="1" i="0" u="none" strike="noStrike">
                  <a:solidFill>
                    <a:srgbClr val="000000"/>
                  </a:solidFill>
                  <a:latin typeface="Calibri"/>
                  <a:ea typeface="Calibri"/>
                  <a:cs typeface="Calibri"/>
                </a:endParaRPr>
              </a:p>
            </xdr:txBody>
          </xdr:sp>
          <xdr:sp macro="" textlink="">
            <xdr:nvSpPr>
              <xdr:cNvPr id="20" name="TextBox 19">
                <a:extLst>
                  <a:ext uri="{FF2B5EF4-FFF2-40B4-BE49-F238E27FC236}">
                    <a16:creationId xmlns:a16="http://schemas.microsoft.com/office/drawing/2014/main" id="{B7D10A63-655B-2D73-D5DD-80DAEFDB7CEC}"/>
                  </a:ext>
                </a:extLst>
              </xdr:cNvPr>
              <xdr:cNvSpPr txBox="1"/>
            </xdr:nvSpPr>
            <xdr:spPr>
              <a:xfrm>
                <a:off x="1281835" y="761760"/>
                <a:ext cx="1607581" cy="3763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000000"/>
                    </a:solidFill>
                    <a:latin typeface="Calibri"/>
                    <a:ea typeface="Calibri"/>
                    <a:cs typeface="Calibri"/>
                  </a:rPr>
                  <a:t>Attrition</a:t>
                </a:r>
              </a:p>
            </xdr:txBody>
          </xdr:sp>
          <xdr:sp macro="" textlink="'Pivot Table'!C9">
            <xdr:nvSpPr>
              <xdr:cNvPr id="21" name="TextBox 20">
                <a:extLst>
                  <a:ext uri="{FF2B5EF4-FFF2-40B4-BE49-F238E27FC236}">
                    <a16:creationId xmlns:a16="http://schemas.microsoft.com/office/drawing/2014/main" id="{30495130-F541-52E8-F7B2-0A5185EE6B40}"/>
                  </a:ext>
                </a:extLst>
              </xdr:cNvPr>
              <xdr:cNvSpPr txBox="1"/>
            </xdr:nvSpPr>
            <xdr:spPr>
              <a:xfrm>
                <a:off x="1281834" y="1146265"/>
                <a:ext cx="1616109" cy="339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264457-942B-42C1-AA70-2EB9057CADE8}" type="TxLink">
                  <a:rPr lang="en-US" sz="1600" b="1" i="0" u="none" strike="noStrike">
                    <a:solidFill>
                      <a:srgbClr val="000000"/>
                    </a:solidFill>
                    <a:latin typeface="Calibri"/>
                    <a:ea typeface="Calibri"/>
                    <a:cs typeface="Calibri"/>
                  </a:rPr>
                  <a:pPr marL="0" indent="0" algn="ctr"/>
                  <a:t>23.93%</a:t>
                </a:fld>
                <a:endParaRPr lang="en-US" sz="1600" b="1" i="0" u="none" strike="noStrike">
                  <a:solidFill>
                    <a:srgbClr val="000000"/>
                  </a:solidFill>
                  <a:latin typeface="Calibri"/>
                  <a:ea typeface="Calibri"/>
                  <a:cs typeface="Calibri"/>
                </a:endParaRPr>
              </a:p>
            </xdr:txBody>
          </xdr:sp>
        </xdr:grpSp>
        <xdr:grpSp>
          <xdr:nvGrpSpPr>
            <xdr:cNvPr id="61" name="Group 60">
              <a:extLst>
                <a:ext uri="{FF2B5EF4-FFF2-40B4-BE49-F238E27FC236}">
                  <a16:creationId xmlns:a16="http://schemas.microsoft.com/office/drawing/2014/main" id="{ED49FF62-7E37-2862-1B30-033D044E8680}"/>
                </a:ext>
              </a:extLst>
            </xdr:cNvPr>
            <xdr:cNvGrpSpPr/>
          </xdr:nvGrpSpPr>
          <xdr:grpSpPr>
            <a:xfrm>
              <a:off x="6044710" y="458884"/>
              <a:ext cx="2334987" cy="803366"/>
              <a:chOff x="6044710" y="447358"/>
              <a:chExt cx="2334987" cy="780314"/>
            </a:xfrm>
          </xdr:grpSpPr>
          <xdr:grpSp>
            <xdr:nvGrpSpPr>
              <xdr:cNvPr id="29" name="Group 28">
                <a:extLst>
                  <a:ext uri="{FF2B5EF4-FFF2-40B4-BE49-F238E27FC236}">
                    <a16:creationId xmlns:a16="http://schemas.microsoft.com/office/drawing/2014/main" id="{173AE433-37B9-8E77-20BB-509FF997BF9D}"/>
                  </a:ext>
                </a:extLst>
              </xdr:cNvPr>
              <xdr:cNvGrpSpPr/>
            </xdr:nvGrpSpPr>
            <xdr:grpSpPr>
              <a:xfrm>
                <a:off x="6044710" y="447358"/>
                <a:ext cx="2334987" cy="780314"/>
                <a:chOff x="573172" y="695593"/>
                <a:chExt cx="2334987" cy="807909"/>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30" name="Rectangle 29">
                  <a:extLst>
                    <a:ext uri="{FF2B5EF4-FFF2-40B4-BE49-F238E27FC236}">
                      <a16:creationId xmlns:a16="http://schemas.microsoft.com/office/drawing/2014/main" id="{11954E39-E336-1146-9378-2AF65EFDA8E3}"/>
                    </a:ext>
                  </a:extLst>
                </xdr:cNvPr>
                <xdr:cNvSpPr/>
              </xdr:nvSpPr>
              <xdr:spPr>
                <a:xfrm>
                  <a:off x="573172" y="695593"/>
                  <a:ext cx="2334987" cy="807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600" b="1" i="0" u="none" strike="noStrike">
                    <a:solidFill>
                      <a:srgbClr val="000000"/>
                    </a:solidFill>
                    <a:latin typeface="Calibri"/>
                    <a:ea typeface="Calibri"/>
                    <a:cs typeface="Calibri"/>
                  </a:endParaRPr>
                </a:p>
              </xdr:txBody>
            </xdr:sp>
            <xdr:sp macro="" textlink="">
              <xdr:nvSpPr>
                <xdr:cNvPr id="31" name="TextBox 30">
                  <a:extLst>
                    <a:ext uri="{FF2B5EF4-FFF2-40B4-BE49-F238E27FC236}">
                      <a16:creationId xmlns:a16="http://schemas.microsoft.com/office/drawing/2014/main" id="{97025EEB-0552-8633-8FBC-20F7E1BAF1AB}"/>
                    </a:ext>
                  </a:extLst>
                </xdr:cNvPr>
                <xdr:cNvSpPr txBox="1"/>
              </xdr:nvSpPr>
              <xdr:spPr>
                <a:xfrm>
                  <a:off x="1281835" y="761760"/>
                  <a:ext cx="1607581" cy="3763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000000"/>
                      </a:solidFill>
                      <a:latin typeface="Calibri"/>
                      <a:ea typeface="Calibri"/>
                      <a:cs typeface="Calibri"/>
                    </a:rPr>
                    <a:t>AVG Salary</a:t>
                  </a:r>
                </a:p>
              </xdr:txBody>
            </xdr:sp>
            <xdr:sp macro="" textlink="'Pivot Table'!B24">
              <xdr:nvSpPr>
                <xdr:cNvPr id="32" name="TextBox 31">
                  <a:extLst>
                    <a:ext uri="{FF2B5EF4-FFF2-40B4-BE49-F238E27FC236}">
                      <a16:creationId xmlns:a16="http://schemas.microsoft.com/office/drawing/2014/main" id="{0D28CB48-6AF4-A399-A5E2-F764E726CA26}"/>
                    </a:ext>
                  </a:extLst>
                </xdr:cNvPr>
                <xdr:cNvSpPr txBox="1"/>
              </xdr:nvSpPr>
              <xdr:spPr>
                <a:xfrm>
                  <a:off x="1281834" y="1146265"/>
                  <a:ext cx="1616109" cy="339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3C338B-EC8A-4F65-A339-7D73B073A54F}" type="TxLink">
                    <a:rPr lang="en-US" sz="1600" b="1" i="0" u="none" strike="noStrike">
                      <a:solidFill>
                        <a:srgbClr val="000000"/>
                      </a:solidFill>
                      <a:latin typeface="Calibri"/>
                      <a:ea typeface="Calibri"/>
                      <a:cs typeface="Calibri"/>
                    </a:rPr>
                    <a:pPr marL="0" indent="0" algn="ctr"/>
                    <a:t>$8,959.71</a:t>
                  </a:fld>
                  <a:endParaRPr lang="en-US" sz="1600" b="1" i="0" u="none" strike="noStrike">
                    <a:solidFill>
                      <a:srgbClr val="000000"/>
                    </a:solidFill>
                    <a:latin typeface="Calibri"/>
                    <a:ea typeface="Calibri"/>
                    <a:cs typeface="Calibri"/>
                  </a:endParaRPr>
                </a:p>
              </xdr:txBody>
            </xdr:sp>
          </xdr:grpSp>
          <xdr:pic>
            <xdr:nvPicPr>
              <xdr:cNvPr id="34" name="Picture 33">
                <a:extLst>
                  <a:ext uri="{FF2B5EF4-FFF2-40B4-BE49-F238E27FC236}">
                    <a16:creationId xmlns:a16="http://schemas.microsoft.com/office/drawing/2014/main" id="{570A34CB-F903-A178-547D-08803CBAAADB}"/>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aturation sat="400000"/>
                        </a14:imgEffect>
                      </a14:imgLayer>
                    </a14:imgProps>
                  </a:ext>
                </a:extLst>
              </a:blip>
              <a:stretch>
                <a:fillRect/>
              </a:stretch>
            </xdr:blipFill>
            <xdr:spPr>
              <a:xfrm>
                <a:off x="6044710" y="469129"/>
                <a:ext cx="762000" cy="738948"/>
              </a:xfrm>
              <a:prstGeom prst="rect">
                <a:avLst/>
              </a:prstGeom>
            </xdr:spPr>
          </xdr:pic>
        </xdr:grpSp>
        <xdr:grpSp>
          <xdr:nvGrpSpPr>
            <xdr:cNvPr id="60" name="Group 59">
              <a:extLst>
                <a:ext uri="{FF2B5EF4-FFF2-40B4-BE49-F238E27FC236}">
                  <a16:creationId xmlns:a16="http://schemas.microsoft.com/office/drawing/2014/main" id="{9A86A972-7F08-7BE1-3EF6-F4DAECD6977F}"/>
                </a:ext>
              </a:extLst>
            </xdr:cNvPr>
            <xdr:cNvGrpSpPr/>
          </xdr:nvGrpSpPr>
          <xdr:grpSpPr>
            <a:xfrm>
              <a:off x="8590686" y="449919"/>
              <a:ext cx="2334987" cy="803366"/>
              <a:chOff x="8590686" y="438393"/>
              <a:chExt cx="2334987" cy="780314"/>
            </a:xfrm>
          </xdr:grpSpPr>
          <xdr:grpSp>
            <xdr:nvGrpSpPr>
              <xdr:cNvPr id="35" name="Group 34">
                <a:extLst>
                  <a:ext uri="{FF2B5EF4-FFF2-40B4-BE49-F238E27FC236}">
                    <a16:creationId xmlns:a16="http://schemas.microsoft.com/office/drawing/2014/main" id="{388EEEEC-2A27-AE01-A4D6-068ABA64C132}"/>
                  </a:ext>
                </a:extLst>
              </xdr:cNvPr>
              <xdr:cNvGrpSpPr/>
            </xdr:nvGrpSpPr>
            <xdr:grpSpPr>
              <a:xfrm>
                <a:off x="8590686" y="438393"/>
                <a:ext cx="2334987" cy="780314"/>
                <a:chOff x="573172" y="695593"/>
                <a:chExt cx="2334987" cy="807909"/>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36" name="Rectangle 35">
                  <a:extLst>
                    <a:ext uri="{FF2B5EF4-FFF2-40B4-BE49-F238E27FC236}">
                      <a16:creationId xmlns:a16="http://schemas.microsoft.com/office/drawing/2014/main" id="{A5F58AE7-D6A1-B82C-9715-89D973B5EC91}"/>
                    </a:ext>
                  </a:extLst>
                </xdr:cNvPr>
                <xdr:cNvSpPr/>
              </xdr:nvSpPr>
              <xdr:spPr>
                <a:xfrm>
                  <a:off x="573172" y="695593"/>
                  <a:ext cx="2334987" cy="807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600" b="1" i="0" u="none" strike="noStrike">
                    <a:solidFill>
                      <a:srgbClr val="000000"/>
                    </a:solidFill>
                    <a:latin typeface="Calibri"/>
                    <a:ea typeface="Calibri"/>
                    <a:cs typeface="Calibri"/>
                  </a:endParaRPr>
                </a:p>
              </xdr:txBody>
            </xdr:sp>
            <xdr:sp macro="" textlink="">
              <xdr:nvSpPr>
                <xdr:cNvPr id="37" name="TextBox 36">
                  <a:extLst>
                    <a:ext uri="{FF2B5EF4-FFF2-40B4-BE49-F238E27FC236}">
                      <a16:creationId xmlns:a16="http://schemas.microsoft.com/office/drawing/2014/main" id="{187EF9E0-CEBD-A296-BAFC-FEC1449CEA6E}"/>
                    </a:ext>
                  </a:extLst>
                </xdr:cNvPr>
                <xdr:cNvSpPr txBox="1"/>
              </xdr:nvSpPr>
              <xdr:spPr>
                <a:xfrm>
                  <a:off x="1372404" y="761760"/>
                  <a:ext cx="1517012" cy="3763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rgbClr val="000000"/>
                      </a:solidFill>
                      <a:latin typeface="Calibri"/>
                      <a:ea typeface="Calibri"/>
                      <a:cs typeface="Calibri"/>
                    </a:rPr>
                    <a:t>AVG Performance</a:t>
                  </a:r>
                </a:p>
              </xdr:txBody>
            </xdr:sp>
            <xdr:sp macro="" textlink="'Pivot Table'!B36">
              <xdr:nvSpPr>
                <xdr:cNvPr id="38" name="TextBox 37">
                  <a:extLst>
                    <a:ext uri="{FF2B5EF4-FFF2-40B4-BE49-F238E27FC236}">
                      <a16:creationId xmlns:a16="http://schemas.microsoft.com/office/drawing/2014/main" id="{B9C777C8-471D-631D-E45E-607D9953E44A}"/>
                    </a:ext>
                  </a:extLst>
                </xdr:cNvPr>
                <xdr:cNvSpPr txBox="1"/>
              </xdr:nvSpPr>
              <xdr:spPr>
                <a:xfrm>
                  <a:off x="1611395" y="1200771"/>
                  <a:ext cx="1108364" cy="252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52BCAC-6D32-41B8-9CDB-8CF5FF384ABC}" type="TxLink">
                    <a:rPr lang="en-US" sz="1600" b="1" i="0" u="none" strike="noStrike">
                      <a:solidFill>
                        <a:srgbClr val="000000"/>
                      </a:solidFill>
                      <a:latin typeface="Calibri"/>
                      <a:ea typeface="Calibri"/>
                      <a:cs typeface="Calibri"/>
                    </a:rPr>
                    <a:pPr marL="0" indent="0" algn="ctr"/>
                    <a:t>3.46</a:t>
                  </a:fld>
                  <a:endParaRPr lang="en-US" sz="2400" b="1" i="0" u="none" strike="noStrike">
                    <a:solidFill>
                      <a:srgbClr val="000000"/>
                    </a:solidFill>
                    <a:latin typeface="Calibri"/>
                    <a:ea typeface="Calibri"/>
                    <a:cs typeface="Calibri"/>
                  </a:endParaRPr>
                </a:p>
              </xdr:txBody>
            </xdr:sp>
          </xdr:grpSp>
          <xdr:pic>
            <xdr:nvPicPr>
              <xdr:cNvPr id="41" name="Picture 40">
                <a:extLst>
                  <a:ext uri="{FF2B5EF4-FFF2-40B4-BE49-F238E27FC236}">
                    <a16:creationId xmlns:a16="http://schemas.microsoft.com/office/drawing/2014/main" id="{DBA63A27-CA56-222A-CC4A-F3D08FFB0024}"/>
                  </a:ext>
                </a:extLst>
              </xdr:cNvPr>
              <xdr:cNvPicPr>
                <a:picLocks noChangeAspect="1"/>
              </xdr:cNvPicPr>
            </xdr:nvPicPr>
            <xdr:blipFill>
              <a:blip xmlns:r="http://schemas.openxmlformats.org/officeDocument/2006/relationships" r:embed="rId4"/>
              <a:stretch>
                <a:fillRect/>
              </a:stretch>
            </xdr:blipFill>
            <xdr:spPr>
              <a:xfrm>
                <a:off x="8643238" y="489967"/>
                <a:ext cx="696181" cy="677634"/>
              </a:xfrm>
              <a:prstGeom prst="rect">
                <a:avLst/>
              </a:prstGeom>
            </xdr:spPr>
          </xdr:pic>
        </xdr:grpSp>
        <xdr:grpSp>
          <xdr:nvGrpSpPr>
            <xdr:cNvPr id="59" name="Group 58">
              <a:extLst>
                <a:ext uri="{FF2B5EF4-FFF2-40B4-BE49-F238E27FC236}">
                  <a16:creationId xmlns:a16="http://schemas.microsoft.com/office/drawing/2014/main" id="{D28303A8-28C6-D27D-EE03-151E14DC799F}"/>
                </a:ext>
              </a:extLst>
            </xdr:cNvPr>
            <xdr:cNvGrpSpPr/>
          </xdr:nvGrpSpPr>
          <xdr:grpSpPr>
            <a:xfrm>
              <a:off x="11242446" y="470239"/>
              <a:ext cx="2334987" cy="803366"/>
              <a:chOff x="11242446" y="458713"/>
              <a:chExt cx="2334987" cy="780314"/>
            </a:xfrm>
          </xdr:grpSpPr>
          <xdr:grpSp>
            <xdr:nvGrpSpPr>
              <xdr:cNvPr id="47" name="Group 46">
                <a:extLst>
                  <a:ext uri="{FF2B5EF4-FFF2-40B4-BE49-F238E27FC236}">
                    <a16:creationId xmlns:a16="http://schemas.microsoft.com/office/drawing/2014/main" id="{89C7568C-0342-0E79-38B4-30ACB2D108F2}"/>
                  </a:ext>
                </a:extLst>
              </xdr:cNvPr>
              <xdr:cNvGrpSpPr/>
            </xdr:nvGrpSpPr>
            <xdr:grpSpPr>
              <a:xfrm>
                <a:off x="11242446" y="458713"/>
                <a:ext cx="2334987" cy="780314"/>
                <a:chOff x="573172" y="695593"/>
                <a:chExt cx="2334987" cy="807909"/>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48" name="Rectangle 47">
                  <a:extLst>
                    <a:ext uri="{FF2B5EF4-FFF2-40B4-BE49-F238E27FC236}">
                      <a16:creationId xmlns:a16="http://schemas.microsoft.com/office/drawing/2014/main" id="{E165F1B8-11B9-ACFD-3B06-EC3B7B7B84A8}"/>
                    </a:ext>
                  </a:extLst>
                </xdr:cNvPr>
                <xdr:cNvSpPr/>
              </xdr:nvSpPr>
              <xdr:spPr>
                <a:xfrm>
                  <a:off x="573172" y="695593"/>
                  <a:ext cx="2334987" cy="807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600" b="1" i="0" u="none" strike="noStrike">
                    <a:solidFill>
                      <a:srgbClr val="000000"/>
                    </a:solidFill>
                    <a:latin typeface="Calibri"/>
                    <a:ea typeface="Calibri"/>
                    <a:cs typeface="Calibri"/>
                  </a:endParaRPr>
                </a:p>
              </xdr:txBody>
            </xdr:sp>
            <xdr:sp macro="" textlink="">
              <xdr:nvSpPr>
                <xdr:cNvPr id="49" name="TextBox 48">
                  <a:extLst>
                    <a:ext uri="{FF2B5EF4-FFF2-40B4-BE49-F238E27FC236}">
                      <a16:creationId xmlns:a16="http://schemas.microsoft.com/office/drawing/2014/main" id="{9B152EAF-C70E-F163-BA06-9151B93A7C4C}"/>
                    </a:ext>
                  </a:extLst>
                </xdr:cNvPr>
                <xdr:cNvSpPr txBox="1"/>
              </xdr:nvSpPr>
              <xdr:spPr>
                <a:xfrm>
                  <a:off x="1372404" y="761760"/>
                  <a:ext cx="1517012" cy="3763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i="0">
                      <a:solidFill>
                        <a:schemeClr val="dk1"/>
                      </a:solidFill>
                      <a:effectLst/>
                      <a:latin typeface="+mn-lt"/>
                      <a:ea typeface="+mn-ea"/>
                      <a:cs typeface="+mn-cs"/>
                    </a:rPr>
                    <a:t>AVG Engagement</a:t>
                  </a:r>
                  <a:endParaRPr lang="en-US" sz="1800">
                    <a:effectLst/>
                  </a:endParaRPr>
                </a:p>
              </xdr:txBody>
            </xdr:sp>
            <xdr:sp macro="" textlink="'Pivot Table'!B50">
              <xdr:nvSpPr>
                <xdr:cNvPr id="50" name="TextBox 49">
                  <a:extLst>
                    <a:ext uri="{FF2B5EF4-FFF2-40B4-BE49-F238E27FC236}">
                      <a16:creationId xmlns:a16="http://schemas.microsoft.com/office/drawing/2014/main" id="{9B8C813B-10A7-B4BE-B860-65B208355E9D}"/>
                    </a:ext>
                  </a:extLst>
                </xdr:cNvPr>
                <xdr:cNvSpPr txBox="1"/>
              </xdr:nvSpPr>
              <xdr:spPr>
                <a:xfrm>
                  <a:off x="1611395" y="1200771"/>
                  <a:ext cx="1108364" cy="252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94869D-37BE-4AFD-B8BA-12CEF32343F5}" type="TxLink">
                    <a:rPr lang="en-US" sz="1600" b="1" i="0" u="none" strike="noStrike">
                      <a:solidFill>
                        <a:srgbClr val="000000"/>
                      </a:solidFill>
                      <a:latin typeface="Calibri"/>
                      <a:ea typeface="Calibri"/>
                      <a:cs typeface="Calibri"/>
                    </a:rPr>
                    <a:pPr marL="0" indent="0" algn="ctr"/>
                    <a:t>2.96</a:t>
                  </a:fld>
                  <a:endParaRPr lang="en-US" sz="3600" b="1" i="0" u="none" strike="noStrike">
                    <a:solidFill>
                      <a:srgbClr val="000000"/>
                    </a:solidFill>
                    <a:latin typeface="Calibri"/>
                    <a:ea typeface="Calibri"/>
                    <a:cs typeface="Calibri"/>
                  </a:endParaRPr>
                </a:p>
              </xdr:txBody>
            </xdr:sp>
          </xdr:grpSp>
          <xdr:pic>
            <xdr:nvPicPr>
              <xdr:cNvPr id="51" name="Picture 50">
                <a:extLst>
                  <a:ext uri="{FF2B5EF4-FFF2-40B4-BE49-F238E27FC236}">
                    <a16:creationId xmlns:a16="http://schemas.microsoft.com/office/drawing/2014/main" id="{C4687903-BD80-D677-8715-7321A481BD5A}"/>
                  </a:ext>
                </a:extLst>
              </xdr:cNvPr>
              <xdr:cNvPicPr>
                <a:picLocks noChangeAspect="1"/>
              </xdr:cNvPicPr>
            </xdr:nvPicPr>
            <xdr:blipFill>
              <a:blip xmlns:r="http://schemas.openxmlformats.org/officeDocument/2006/relationships" r:embed="rId5"/>
              <a:stretch>
                <a:fillRect/>
              </a:stretch>
            </xdr:blipFill>
            <xdr:spPr>
              <a:xfrm>
                <a:off x="11242446" y="458713"/>
                <a:ext cx="743155" cy="728812"/>
              </a:xfrm>
              <a:prstGeom prst="rect">
                <a:avLst/>
              </a:prstGeom>
            </xdr:spPr>
          </xdr:pic>
        </xdr:grpSp>
        <xdr:grpSp>
          <xdr:nvGrpSpPr>
            <xdr:cNvPr id="58" name="Group 57">
              <a:extLst>
                <a:ext uri="{FF2B5EF4-FFF2-40B4-BE49-F238E27FC236}">
                  <a16:creationId xmlns:a16="http://schemas.microsoft.com/office/drawing/2014/main" id="{FCB51AF1-FD32-B724-8380-1E8885C9AF07}"/>
                </a:ext>
              </a:extLst>
            </xdr:cNvPr>
            <xdr:cNvGrpSpPr/>
          </xdr:nvGrpSpPr>
          <xdr:grpSpPr>
            <a:xfrm>
              <a:off x="13934846" y="490559"/>
              <a:ext cx="2334987" cy="805543"/>
              <a:chOff x="13934846" y="479033"/>
              <a:chExt cx="2334987" cy="776728"/>
            </a:xfrm>
          </xdr:grpSpPr>
          <xdr:grpSp>
            <xdr:nvGrpSpPr>
              <xdr:cNvPr id="52" name="Group 51">
                <a:extLst>
                  <a:ext uri="{FF2B5EF4-FFF2-40B4-BE49-F238E27FC236}">
                    <a16:creationId xmlns:a16="http://schemas.microsoft.com/office/drawing/2014/main" id="{B99E52C3-35A9-B58C-EED5-48CFCE9764A8}"/>
                  </a:ext>
                </a:extLst>
              </xdr:cNvPr>
              <xdr:cNvGrpSpPr/>
            </xdr:nvGrpSpPr>
            <xdr:grpSpPr>
              <a:xfrm>
                <a:off x="13934846" y="479033"/>
                <a:ext cx="2334987" cy="776728"/>
                <a:chOff x="573172" y="695593"/>
                <a:chExt cx="2334987" cy="807909"/>
              </a:xfrm>
              <a:effectLst>
                <a:glow rad="63500">
                  <a:schemeClr val="accent3">
                    <a:satMod val="175000"/>
                    <a:alpha val="40000"/>
                  </a:schemeClr>
                </a:glow>
                <a:outerShdw blurRad="50800" dist="38100" dir="2700000" algn="tl" rotWithShape="0">
                  <a:prstClr val="black">
                    <a:alpha val="40000"/>
                  </a:prstClr>
                </a:outerShdw>
              </a:effectLst>
            </xdr:grpSpPr>
            <xdr:sp macro="" textlink="">
              <xdr:nvSpPr>
                <xdr:cNvPr id="53" name="Rectangle 52">
                  <a:extLst>
                    <a:ext uri="{FF2B5EF4-FFF2-40B4-BE49-F238E27FC236}">
                      <a16:creationId xmlns:a16="http://schemas.microsoft.com/office/drawing/2014/main" id="{2CB9D7FB-BA55-95AC-CF38-B3AD42B8FFBA}"/>
                    </a:ext>
                  </a:extLst>
                </xdr:cNvPr>
                <xdr:cNvSpPr/>
              </xdr:nvSpPr>
              <xdr:spPr>
                <a:xfrm>
                  <a:off x="573172" y="695593"/>
                  <a:ext cx="2334987" cy="807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600" b="1" i="0" u="none" strike="noStrike">
                    <a:solidFill>
                      <a:srgbClr val="000000"/>
                    </a:solidFill>
                    <a:latin typeface="Calibri"/>
                    <a:ea typeface="Calibri"/>
                    <a:cs typeface="Calibri"/>
                  </a:endParaRPr>
                </a:p>
              </xdr:txBody>
            </xdr:sp>
            <xdr:sp macro="" textlink="">
              <xdr:nvSpPr>
                <xdr:cNvPr id="54" name="TextBox 53">
                  <a:extLst>
                    <a:ext uri="{FF2B5EF4-FFF2-40B4-BE49-F238E27FC236}">
                      <a16:creationId xmlns:a16="http://schemas.microsoft.com/office/drawing/2014/main" id="{FADA1A39-37B7-ADFA-375F-5F71BA218EF4}"/>
                    </a:ext>
                  </a:extLst>
                </xdr:cNvPr>
                <xdr:cNvSpPr txBox="1"/>
              </xdr:nvSpPr>
              <xdr:spPr>
                <a:xfrm>
                  <a:off x="1372404" y="761760"/>
                  <a:ext cx="1517012" cy="3763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a:solidFill>
                        <a:schemeClr val="dk1"/>
                      </a:solidFill>
                      <a:effectLst/>
                      <a:latin typeface="+mn-lt"/>
                      <a:ea typeface="+mn-ea"/>
                      <a:cs typeface="+mn-cs"/>
                    </a:rPr>
                    <a:t>AVG Tenure</a:t>
                  </a:r>
                </a:p>
              </xdr:txBody>
            </xdr:sp>
            <xdr:sp macro="" textlink="'Pivot Table'!B70">
              <xdr:nvSpPr>
                <xdr:cNvPr id="55" name="TextBox 54">
                  <a:extLst>
                    <a:ext uri="{FF2B5EF4-FFF2-40B4-BE49-F238E27FC236}">
                      <a16:creationId xmlns:a16="http://schemas.microsoft.com/office/drawing/2014/main" id="{1B699123-3DC8-5095-45AF-24C1FA893082}"/>
                    </a:ext>
                  </a:extLst>
                </xdr:cNvPr>
                <xdr:cNvSpPr txBox="1"/>
              </xdr:nvSpPr>
              <xdr:spPr>
                <a:xfrm>
                  <a:off x="1611395" y="1200771"/>
                  <a:ext cx="1108364" cy="252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EB5DD8-3741-4D62-8C14-4FA43BBAA91D}" type="TxLink">
                    <a:rPr lang="en-US" sz="1600" b="1" i="0" u="none" strike="noStrike">
                      <a:solidFill>
                        <a:srgbClr val="000000"/>
                      </a:solidFill>
                      <a:latin typeface="Calibri"/>
                      <a:ea typeface="Calibri"/>
                      <a:cs typeface="Calibri"/>
                    </a:rPr>
                    <a:pPr marL="0" indent="0" algn="ctr"/>
                    <a:t>4</a:t>
                  </a:fld>
                  <a:endParaRPr lang="en-US" sz="4800" b="1" i="0" u="none" strike="noStrike">
                    <a:solidFill>
                      <a:srgbClr val="000000"/>
                    </a:solidFill>
                    <a:latin typeface="Calibri"/>
                    <a:ea typeface="Calibri"/>
                    <a:cs typeface="Calibri"/>
                  </a:endParaRPr>
                </a:p>
              </xdr:txBody>
            </xdr:sp>
          </xdr:grpSp>
          <xdr:pic>
            <xdr:nvPicPr>
              <xdr:cNvPr id="56" name="Picture 55">
                <a:extLst>
                  <a:ext uri="{FF2B5EF4-FFF2-40B4-BE49-F238E27FC236}">
                    <a16:creationId xmlns:a16="http://schemas.microsoft.com/office/drawing/2014/main" id="{F0EBB51F-D2C4-312C-D06A-2C2761865028}"/>
                  </a:ext>
                </a:extLst>
              </xdr:cNvPr>
              <xdr:cNvPicPr>
                <a:picLocks noChangeAspect="1"/>
              </xdr:cNvPicPr>
            </xdr:nvPicPr>
            <xdr:blipFill>
              <a:blip xmlns:r="http://schemas.openxmlformats.org/officeDocument/2006/relationships" r:embed="rId6"/>
              <a:stretch>
                <a:fillRect/>
              </a:stretch>
            </xdr:blipFill>
            <xdr:spPr>
              <a:xfrm>
                <a:off x="13988633" y="528918"/>
                <a:ext cx="640951" cy="629641"/>
              </a:xfrm>
              <a:prstGeom prst="rect">
                <a:avLst/>
              </a:prstGeom>
            </xdr:spPr>
          </xdr:pic>
        </xdr:grpSp>
      </xdr:grpSp>
      <xdr:pic>
        <xdr:nvPicPr>
          <xdr:cNvPr id="75" name="Picture 74">
            <a:extLst>
              <a:ext uri="{FF2B5EF4-FFF2-40B4-BE49-F238E27FC236}">
                <a16:creationId xmlns:a16="http://schemas.microsoft.com/office/drawing/2014/main" id="{5230F377-EAF8-6838-BBEF-7455361E9B3E}"/>
              </a:ext>
            </a:extLst>
          </xdr:cNvPr>
          <xdr:cNvPicPr>
            <a:picLocks noChangeAspect="1"/>
          </xdr:cNvPicPr>
        </xdr:nvPicPr>
        <xdr:blipFill>
          <a:blip xmlns:r="http://schemas.openxmlformats.org/officeDocument/2006/relationships" r:embed="rId7"/>
          <a:stretch>
            <a:fillRect/>
          </a:stretch>
        </xdr:blipFill>
        <xdr:spPr>
          <a:xfrm rot="5244901">
            <a:off x="4394607" y="437843"/>
            <a:ext cx="681251" cy="692334"/>
          </a:xfrm>
          <a:prstGeom prst="rect">
            <a:avLst/>
          </a:prstGeom>
        </xdr:spPr>
      </xdr:pic>
    </xdr:grpSp>
    <xdr:clientData/>
  </xdr:twoCellAnchor>
  <xdr:twoCellAnchor>
    <xdr:from>
      <xdr:col>5</xdr:col>
      <xdr:colOff>91441</xdr:colOff>
      <xdr:row>8</xdr:row>
      <xdr:rowOff>10161</xdr:rowOff>
    </xdr:from>
    <xdr:to>
      <xdr:col>14</xdr:col>
      <xdr:colOff>568961</xdr:colOff>
      <xdr:row>23</xdr:row>
      <xdr:rowOff>1</xdr:rowOff>
    </xdr:to>
    <xdr:graphicFrame macro="">
      <xdr:nvGraphicFramePr>
        <xdr:cNvPr id="64" name="Chart 63">
          <a:extLst>
            <a:ext uri="{FF2B5EF4-FFF2-40B4-BE49-F238E27FC236}">
              <a16:creationId xmlns:a16="http://schemas.microsoft.com/office/drawing/2014/main" id="{6B743498-7F08-48D5-A645-27CD7B244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101600</xdr:colOff>
      <xdr:row>8</xdr:row>
      <xdr:rowOff>10159</xdr:rowOff>
    </xdr:from>
    <xdr:to>
      <xdr:col>23</xdr:col>
      <xdr:colOff>169091</xdr:colOff>
      <xdr:row>22</xdr:row>
      <xdr:rowOff>172720</xdr:rowOff>
    </xdr:to>
    <xdr:graphicFrame macro="">
      <xdr:nvGraphicFramePr>
        <xdr:cNvPr id="65" name="Chart 64">
          <a:extLst>
            <a:ext uri="{FF2B5EF4-FFF2-40B4-BE49-F238E27FC236}">
              <a16:creationId xmlns:a16="http://schemas.microsoft.com/office/drawing/2014/main" id="{4D5ED472-2851-4B2E-8725-E49666C79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447040</xdr:colOff>
      <xdr:row>24</xdr:row>
      <xdr:rowOff>111760</xdr:rowOff>
    </xdr:from>
    <xdr:to>
      <xdr:col>18</xdr:col>
      <xdr:colOff>294640</xdr:colOff>
      <xdr:row>34</xdr:row>
      <xdr:rowOff>85224</xdr:rowOff>
    </xdr:to>
    <xdr:graphicFrame macro="">
      <xdr:nvGraphicFramePr>
        <xdr:cNvPr id="66" name="Chart 65">
          <a:extLst>
            <a:ext uri="{FF2B5EF4-FFF2-40B4-BE49-F238E27FC236}">
              <a16:creationId xmlns:a16="http://schemas.microsoft.com/office/drawing/2014/main" id="{D277F176-53DC-431D-9848-D5F66A7AE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381000</xdr:colOff>
      <xdr:row>24</xdr:row>
      <xdr:rowOff>152400</xdr:rowOff>
    </xdr:from>
    <xdr:to>
      <xdr:col>8</xdr:col>
      <xdr:colOff>304800</xdr:colOff>
      <xdr:row>34</xdr:row>
      <xdr:rowOff>97972</xdr:rowOff>
    </xdr:to>
    <xdr:graphicFrame macro="">
      <xdr:nvGraphicFramePr>
        <xdr:cNvPr id="67" name="Chart 66">
          <a:extLst>
            <a:ext uri="{FF2B5EF4-FFF2-40B4-BE49-F238E27FC236}">
              <a16:creationId xmlns:a16="http://schemas.microsoft.com/office/drawing/2014/main" id="{F3E1829B-45BE-4907-8E85-28546A7C3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406401</xdr:colOff>
      <xdr:row>24</xdr:row>
      <xdr:rowOff>132080</xdr:rowOff>
    </xdr:from>
    <xdr:to>
      <xdr:col>30</xdr:col>
      <xdr:colOff>325120</xdr:colOff>
      <xdr:row>34</xdr:row>
      <xdr:rowOff>87086</xdr:rowOff>
    </xdr:to>
    <xdr:graphicFrame macro="">
      <xdr:nvGraphicFramePr>
        <xdr:cNvPr id="77" name="Chart 76">
          <a:extLst>
            <a:ext uri="{FF2B5EF4-FFF2-40B4-BE49-F238E27FC236}">
              <a16:creationId xmlns:a16="http://schemas.microsoft.com/office/drawing/2014/main" id="{8CEDF920-FB5D-4798-A24A-2505646E3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274320</xdr:colOff>
      <xdr:row>8</xdr:row>
      <xdr:rowOff>20320</xdr:rowOff>
    </xdr:from>
    <xdr:to>
      <xdr:col>30</xdr:col>
      <xdr:colOff>304800</xdr:colOff>
      <xdr:row>23</xdr:row>
      <xdr:rowOff>0</xdr:rowOff>
    </xdr:to>
    <xdr:graphicFrame macro="">
      <xdr:nvGraphicFramePr>
        <xdr:cNvPr id="79" name="Chart 78">
          <a:extLst>
            <a:ext uri="{FF2B5EF4-FFF2-40B4-BE49-F238E27FC236}">
              <a16:creationId xmlns:a16="http://schemas.microsoft.com/office/drawing/2014/main" id="{709D67DB-7CBC-4E07-AC23-2D0461AD8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335280</xdr:colOff>
      <xdr:row>7</xdr:row>
      <xdr:rowOff>152400</xdr:rowOff>
    </xdr:from>
    <xdr:to>
      <xdr:col>4</xdr:col>
      <xdr:colOff>585216</xdr:colOff>
      <xdr:row>15</xdr:row>
      <xdr:rowOff>137160</xdr:rowOff>
    </xdr:to>
    <mc:AlternateContent xmlns:mc="http://schemas.openxmlformats.org/markup-compatibility/2006" xmlns:tsle="http://schemas.microsoft.com/office/drawing/2012/timeslicer">
      <mc:Choice Requires="tsle">
        <xdr:graphicFrame macro="">
          <xdr:nvGraphicFramePr>
            <xdr:cNvPr id="80" name="ExitDate">
              <a:extLst>
                <a:ext uri="{FF2B5EF4-FFF2-40B4-BE49-F238E27FC236}">
                  <a16:creationId xmlns:a16="http://schemas.microsoft.com/office/drawing/2014/main" id="{974C23D5-CBE7-400C-8A97-49A4A0756CDB}"/>
                </a:ext>
              </a:extLst>
            </xdr:cNvPr>
            <xdr:cNvGraphicFramePr/>
          </xdr:nvGraphicFramePr>
          <xdr:xfrm>
            <a:off x="0" y="0"/>
            <a:ext cx="0" cy="0"/>
          </xdr:xfrm>
          <a:graphic>
            <a:graphicData uri="http://schemas.microsoft.com/office/drawing/2012/timeslicer">
              <tsle:timeslicer name="ExitDate"/>
            </a:graphicData>
          </a:graphic>
        </xdr:graphicFrame>
      </mc:Choice>
      <mc:Fallback xmlns="">
        <xdr:sp macro="" textlink="">
          <xdr:nvSpPr>
            <xdr:cNvPr id="0" name=""/>
            <xdr:cNvSpPr>
              <a:spLocks noTextEdit="1"/>
            </xdr:cNvSpPr>
          </xdr:nvSpPr>
          <xdr:spPr>
            <a:xfrm>
              <a:off x="335280" y="1432560"/>
              <a:ext cx="2688336" cy="1447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0</xdr:row>
      <xdr:rowOff>121920</xdr:rowOff>
    </xdr:from>
    <xdr:to>
      <xdr:col>3</xdr:col>
      <xdr:colOff>52932</xdr:colOff>
      <xdr:row>7</xdr:row>
      <xdr:rowOff>0</xdr:rowOff>
    </xdr:to>
    <xdr:pic>
      <xdr:nvPicPr>
        <xdr:cNvPr id="86" name="Picture 85">
          <a:extLst>
            <a:ext uri="{FF2B5EF4-FFF2-40B4-BE49-F238E27FC236}">
              <a16:creationId xmlns:a16="http://schemas.microsoft.com/office/drawing/2014/main" id="{022E1AD8-ACC8-8CA0-9BCC-1AC43F921F73}"/>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121920"/>
          <a:ext cx="1881732" cy="11582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fa Emara" refreshedDate="46125.906701967593" createdVersion="8" refreshedVersion="8" minRefreshableVersion="3" recordCount="723" xr:uid="{1DD5E050-A96E-4E1E-9579-3D1CCB183101}">
  <cacheSource type="worksheet">
    <worksheetSource name="HR"/>
  </cacheSource>
  <cacheFields count="17">
    <cacheField name="EmployeeID" numFmtId="1">
      <sharedItems containsSemiMixedTypes="0" containsString="0" containsNumber="1" containsInteger="1" minValue="1" maxValue="723"/>
    </cacheField>
    <cacheField name="Department" numFmtId="0">
      <sharedItems count="6">
        <s v="Marketing"/>
        <s v="Finance"/>
        <s v="It"/>
        <s v="Ops"/>
        <s v="Hr"/>
        <s v="Sales"/>
      </sharedItems>
    </cacheField>
    <cacheField name="HireDate" numFmtId="14">
      <sharedItems containsSemiMixedTypes="0" containsNonDate="0" containsDate="1" containsString="0" minDate="2018-01-08T00:00:00" maxDate="2024-12-30T00:00:00" count="623">
        <d v="2023-12-05T00:00:00"/>
        <d v="2019-02-26T00:00:00"/>
        <d v="2023-04-14T00:00:00"/>
        <d v="2023-09-16T00:00:00"/>
        <d v="2022-08-14T00:00:00"/>
        <d v="2022-10-25T00:00:00"/>
        <d v="2022-05-16T00:00:00"/>
        <d v="2021-11-15T00:00:00"/>
        <d v="2019-12-19T00:00:00"/>
        <d v="2020-01-14T00:00:00"/>
        <d v="2018-12-16T00:00:00"/>
        <d v="2018-07-12T00:00:00"/>
        <d v="2024-05-25T00:00:00"/>
        <d v="2020-08-19T00:00:00"/>
        <d v="2024-04-21T00:00:00"/>
        <d v="2020-06-21T00:00:00"/>
        <d v="2023-05-02T00:00:00"/>
        <d v="2020-06-29T00:00:00"/>
        <d v="2021-04-30T00:00:00"/>
        <d v="2024-10-27T00:00:00"/>
        <d v="2021-01-19T00:00:00"/>
        <d v="2018-04-15T00:00:00"/>
        <d v="2024-11-30T00:00:00"/>
        <d v="2024-12-13T00:00:00"/>
        <d v="2021-07-04T00:00:00"/>
        <d v="2022-08-13T00:00:00"/>
        <d v="2019-06-20T00:00:00"/>
        <d v="2019-06-30T00:00:00"/>
        <d v="2018-09-20T00:00:00"/>
        <d v="2019-09-06T00:00:00"/>
        <d v="2022-07-23T00:00:00"/>
        <d v="2020-10-22T00:00:00"/>
        <d v="2024-05-12T00:00:00"/>
        <d v="2020-11-25T00:00:00"/>
        <d v="2020-10-27T00:00:00"/>
        <d v="2019-07-10T00:00:00"/>
        <d v="2019-10-11T00:00:00"/>
        <d v="2021-10-17T00:00:00"/>
        <d v="2020-01-19T00:00:00"/>
        <d v="2024-09-03T00:00:00"/>
        <d v="2023-02-08T00:00:00"/>
        <d v="2020-01-04T00:00:00"/>
        <d v="2023-05-29T00:00:00"/>
        <d v="2024-03-02T00:00:00"/>
        <d v="2021-10-19T00:00:00"/>
        <d v="2022-07-15T00:00:00"/>
        <d v="2021-05-27T00:00:00"/>
        <d v="2021-01-06T00:00:00"/>
        <d v="2024-08-31T00:00:00"/>
        <d v="2020-01-23T00:00:00"/>
        <d v="2023-10-16T00:00:00"/>
        <d v="2021-09-05T00:00:00"/>
        <d v="2019-06-19T00:00:00"/>
        <d v="2023-08-11T00:00:00"/>
        <d v="2021-05-25T00:00:00"/>
        <d v="2021-06-06T00:00:00"/>
        <d v="2019-08-02T00:00:00"/>
        <d v="2019-07-13T00:00:00"/>
        <d v="2022-01-31T00:00:00"/>
        <d v="2022-11-07T00:00:00"/>
        <d v="2022-08-04T00:00:00"/>
        <d v="2022-02-10T00:00:00"/>
        <d v="2020-02-27T00:00:00"/>
        <d v="2022-07-04T00:00:00"/>
        <d v="2023-07-06T00:00:00"/>
        <d v="2020-11-30T00:00:00"/>
        <d v="2018-01-20T00:00:00"/>
        <d v="2021-09-04T00:00:00"/>
        <d v="2018-06-28T00:00:00"/>
        <d v="2021-01-20T00:00:00"/>
        <d v="2023-01-10T00:00:00"/>
        <d v="2023-09-22T00:00:00"/>
        <d v="2020-03-21T00:00:00"/>
        <d v="2021-01-15T00:00:00"/>
        <d v="2022-01-14T00:00:00"/>
        <d v="2024-12-28T00:00:00"/>
        <d v="2021-05-15T00:00:00"/>
        <d v="2023-07-27T00:00:00"/>
        <d v="2019-12-25T00:00:00"/>
        <d v="2019-04-18T00:00:00"/>
        <d v="2024-02-19T00:00:00"/>
        <d v="2019-02-04T00:00:00"/>
        <d v="2018-02-11T00:00:00"/>
        <d v="2021-04-10T00:00:00"/>
        <d v="2021-09-27T00:00:00"/>
        <d v="2024-07-02T00:00:00"/>
        <d v="2023-12-25T00:00:00"/>
        <d v="2019-10-20T00:00:00"/>
        <d v="2018-01-22T00:00:00"/>
        <d v="2022-05-02T00:00:00"/>
        <d v="2023-12-23T00:00:00"/>
        <d v="2021-11-07T00:00:00"/>
        <d v="2019-08-08T00:00:00"/>
        <d v="2024-10-11T00:00:00"/>
        <d v="2024-11-09T00:00:00"/>
        <d v="2018-03-08T00:00:00"/>
        <d v="2021-07-28T00:00:00"/>
        <d v="2021-06-17T00:00:00"/>
        <d v="2020-04-21T00:00:00"/>
        <d v="2023-03-03T00:00:00"/>
        <d v="2021-11-17T00:00:00"/>
        <d v="2024-05-15T00:00:00"/>
        <d v="2021-06-10T00:00:00"/>
        <d v="2018-01-13T00:00:00"/>
        <d v="2021-07-03T00:00:00"/>
        <d v="2018-11-25T00:00:00"/>
        <d v="2021-05-03T00:00:00"/>
        <d v="2023-12-10T00:00:00"/>
        <d v="2024-11-12T00:00:00"/>
        <d v="2019-12-08T00:00:00"/>
        <d v="2019-04-26T00:00:00"/>
        <d v="2021-07-08T00:00:00"/>
        <d v="2018-09-30T00:00:00"/>
        <d v="2023-03-13T00:00:00"/>
        <d v="2020-09-24T00:00:00"/>
        <d v="2021-01-11T00:00:00"/>
        <d v="2022-11-05T00:00:00"/>
        <d v="2022-03-16T00:00:00"/>
        <d v="2021-03-05T00:00:00"/>
        <d v="2021-06-12T00:00:00"/>
        <d v="2019-10-12T00:00:00"/>
        <d v="2024-12-22T00:00:00"/>
        <d v="2022-07-21T00:00:00"/>
        <d v="2024-07-18T00:00:00"/>
        <d v="2022-01-09T00:00:00"/>
        <d v="2021-02-12T00:00:00"/>
        <d v="2022-04-29T00:00:00"/>
        <d v="2020-08-26T00:00:00"/>
        <d v="2020-06-13T00:00:00"/>
        <d v="2019-03-18T00:00:00"/>
        <d v="2020-11-15T00:00:00"/>
        <d v="2020-11-13T00:00:00"/>
        <d v="2021-09-10T00:00:00"/>
        <d v="2024-06-05T00:00:00"/>
        <d v="2020-06-30T00:00:00"/>
        <d v="2023-05-31T00:00:00"/>
        <d v="2018-05-01T00:00:00"/>
        <d v="2024-11-18T00:00:00"/>
        <d v="2024-06-17T00:00:00"/>
        <d v="2022-12-25T00:00:00"/>
        <d v="2018-07-04T00:00:00"/>
        <d v="2023-03-09T00:00:00"/>
        <d v="2024-03-05T00:00:00"/>
        <d v="2022-03-09T00:00:00"/>
        <d v="2022-09-13T00:00:00"/>
        <d v="2019-05-23T00:00:00"/>
        <d v="2021-09-19T00:00:00"/>
        <d v="2023-03-02T00:00:00"/>
        <d v="2021-11-27T00:00:00"/>
        <d v="2021-03-30T00:00:00"/>
        <d v="2018-09-02T00:00:00"/>
        <d v="2019-01-09T00:00:00"/>
        <d v="2022-08-23T00:00:00"/>
        <d v="2022-07-30T00:00:00"/>
        <d v="2023-10-02T00:00:00"/>
        <d v="2024-01-30T00:00:00"/>
        <d v="2023-02-05T00:00:00"/>
        <d v="2021-03-01T00:00:00"/>
        <d v="2023-02-14T00:00:00"/>
        <d v="2019-10-15T00:00:00"/>
        <d v="2022-10-01T00:00:00"/>
        <d v="2020-07-19T00:00:00"/>
        <d v="2023-06-26T00:00:00"/>
        <d v="2020-09-05T00:00:00"/>
        <d v="2022-12-29T00:00:00"/>
        <d v="2018-01-28T00:00:00"/>
        <d v="2018-06-12T00:00:00"/>
        <d v="2018-02-08T00:00:00"/>
        <d v="2023-08-31T00:00:00"/>
        <d v="2020-01-03T00:00:00"/>
        <d v="2024-09-04T00:00:00"/>
        <d v="2022-08-07T00:00:00"/>
        <d v="2018-07-17T00:00:00"/>
        <d v="2021-12-12T00:00:00"/>
        <d v="2024-05-24T00:00:00"/>
        <d v="2020-09-04T00:00:00"/>
        <d v="2022-03-15T00:00:00"/>
        <d v="2021-07-29T00:00:00"/>
        <d v="2018-09-08T00:00:00"/>
        <d v="2022-05-04T00:00:00"/>
        <d v="2019-04-05T00:00:00"/>
        <d v="2018-10-07T00:00:00"/>
        <d v="2019-07-12T00:00:00"/>
        <d v="2019-08-15T00:00:00"/>
        <d v="2020-08-17T00:00:00"/>
        <d v="2022-10-30T00:00:00"/>
        <d v="2024-09-07T00:00:00"/>
        <d v="2018-08-20T00:00:00"/>
        <d v="2019-08-09T00:00:00"/>
        <d v="2019-11-05T00:00:00"/>
        <d v="2020-11-20T00:00:00"/>
        <d v="2024-07-27T00:00:00"/>
        <d v="2020-01-13T00:00:00"/>
        <d v="2021-09-09T00:00:00"/>
        <d v="2024-11-03T00:00:00"/>
        <d v="2019-08-16T00:00:00"/>
        <d v="2018-10-23T00:00:00"/>
        <d v="2018-04-22T00:00:00"/>
        <d v="2024-07-22T00:00:00"/>
        <d v="2023-04-18T00:00:00"/>
        <d v="2020-03-01T00:00:00"/>
        <d v="2020-06-26T00:00:00"/>
        <d v="2021-09-01T00:00:00"/>
        <d v="2023-10-15T00:00:00"/>
        <d v="2019-01-16T00:00:00"/>
        <d v="2022-10-31T00:00:00"/>
        <d v="2019-11-13T00:00:00"/>
        <d v="2022-12-19T00:00:00"/>
        <d v="2022-07-17T00:00:00"/>
        <d v="2024-10-12T00:00:00"/>
        <d v="2021-04-12T00:00:00"/>
        <d v="2023-11-14T00:00:00"/>
        <d v="2022-06-16T00:00:00"/>
        <d v="2020-05-16T00:00:00"/>
        <d v="2018-12-31T00:00:00"/>
        <d v="2021-05-17T00:00:00"/>
        <d v="2020-01-06T00:00:00"/>
        <d v="2024-02-27T00:00:00"/>
        <d v="2019-10-25T00:00:00"/>
        <d v="2024-01-22T00:00:00"/>
        <d v="2019-02-05T00:00:00"/>
        <d v="2019-01-10T00:00:00"/>
        <d v="2019-11-11T00:00:00"/>
        <d v="2019-10-04T00:00:00"/>
        <d v="2019-12-30T00:00:00"/>
        <d v="2019-09-02T00:00:00"/>
        <d v="2024-02-11T00:00:00"/>
        <d v="2022-11-04T00:00:00"/>
        <d v="2020-09-26T00:00:00"/>
        <d v="2023-11-12T00:00:00"/>
        <d v="2018-07-25T00:00:00"/>
        <d v="2022-02-13T00:00:00"/>
        <d v="2022-08-28T00:00:00"/>
        <d v="2018-03-11T00:00:00"/>
        <d v="2024-04-15T00:00:00"/>
        <d v="2021-11-20T00:00:00"/>
        <d v="2020-11-04T00:00:00"/>
        <d v="2020-08-24T00:00:00"/>
        <d v="2018-03-15T00:00:00"/>
        <d v="2018-02-26T00:00:00"/>
        <d v="2019-01-25T00:00:00"/>
        <d v="2021-02-10T00:00:00"/>
        <d v="2022-06-24T00:00:00"/>
        <d v="2023-11-21T00:00:00"/>
        <d v="2024-06-26T00:00:00"/>
        <d v="2019-05-01T00:00:00"/>
        <d v="2024-01-10T00:00:00"/>
        <d v="2023-02-28T00:00:00"/>
        <d v="2020-05-24T00:00:00"/>
        <d v="2021-10-26T00:00:00"/>
        <d v="2023-11-15T00:00:00"/>
        <d v="2020-09-29T00:00:00"/>
        <d v="2020-07-11T00:00:00"/>
        <d v="2018-11-11T00:00:00"/>
        <d v="2023-02-26T00:00:00"/>
        <d v="2022-11-10T00:00:00"/>
        <d v="2023-03-20T00:00:00"/>
        <d v="2021-04-01T00:00:00"/>
        <d v="2023-11-05T00:00:00"/>
        <d v="2024-11-06T00:00:00"/>
        <d v="2021-06-29T00:00:00"/>
        <d v="2022-12-01T00:00:00"/>
        <d v="2018-09-01T00:00:00"/>
        <d v="2024-08-11T00:00:00"/>
        <d v="2019-08-22T00:00:00"/>
        <d v="2022-08-18T00:00:00"/>
        <d v="2019-12-29T00:00:00"/>
        <d v="2018-09-26T00:00:00"/>
        <d v="2020-05-27T00:00:00"/>
        <d v="2020-04-07T00:00:00"/>
        <d v="2022-02-21T00:00:00"/>
        <d v="2019-05-15T00:00:00"/>
        <d v="2019-10-09T00:00:00"/>
        <d v="2018-05-15T00:00:00"/>
        <d v="2018-10-20T00:00:00"/>
        <d v="2018-05-03T00:00:00"/>
        <d v="2024-08-21T00:00:00"/>
        <d v="2021-06-24T00:00:00"/>
        <d v="2023-12-15T00:00:00"/>
        <d v="2024-05-31T00:00:00"/>
        <d v="2022-12-26T00:00:00"/>
        <d v="2023-06-10T00:00:00"/>
        <d v="2024-04-19T00:00:00"/>
        <d v="2024-11-14T00:00:00"/>
        <d v="2018-11-01T00:00:00"/>
        <d v="2022-11-30T00:00:00"/>
        <d v="2018-08-25T00:00:00"/>
        <d v="2023-07-23T00:00:00"/>
        <d v="2021-10-22T00:00:00"/>
        <d v="2020-10-30T00:00:00"/>
        <d v="2018-08-01T00:00:00"/>
        <d v="2018-05-26T00:00:00"/>
        <d v="2019-12-26T00:00:00"/>
        <d v="2021-04-07T00:00:00"/>
        <d v="2024-03-08T00:00:00"/>
        <d v="2018-02-19T00:00:00"/>
        <d v="2020-12-17T00:00:00"/>
        <d v="2020-06-28T00:00:00"/>
        <d v="2021-03-03T00:00:00"/>
        <d v="2022-10-23T00:00:00"/>
        <d v="2023-11-23T00:00:00"/>
        <d v="2024-02-03T00:00:00"/>
        <d v="2020-07-13T00:00:00"/>
        <d v="2022-07-14T00:00:00"/>
        <d v="2019-10-02T00:00:00"/>
        <d v="2024-12-29T00:00:00"/>
        <d v="2021-04-09T00:00:00"/>
        <d v="2019-06-23T00:00:00"/>
        <d v="2019-09-21T00:00:00"/>
        <d v="2022-08-17T00:00:00"/>
        <d v="2021-06-03T00:00:00"/>
        <d v="2019-04-24T00:00:00"/>
        <d v="2020-10-05T00:00:00"/>
        <d v="2018-10-10T00:00:00"/>
        <d v="2021-03-06T00:00:00"/>
        <d v="2024-03-30T00:00:00"/>
        <d v="2021-09-22T00:00:00"/>
        <d v="2023-07-29T00:00:00"/>
        <d v="2019-06-09T00:00:00"/>
        <d v="2022-04-15T00:00:00"/>
        <d v="2018-11-02T00:00:00"/>
        <d v="2018-03-30T00:00:00"/>
        <d v="2023-09-08T00:00:00"/>
        <d v="2022-11-03T00:00:00"/>
        <d v="2024-07-12T00:00:00"/>
        <d v="2024-06-12T00:00:00"/>
        <d v="2018-07-20T00:00:00"/>
        <d v="2024-06-23T00:00:00"/>
        <d v="2022-11-28T00:00:00"/>
        <d v="2018-08-03T00:00:00"/>
        <d v="2020-10-02T00:00:00"/>
        <d v="2019-09-25T00:00:00"/>
        <d v="2021-08-05T00:00:00"/>
        <d v="2018-04-03T00:00:00"/>
        <d v="2018-09-29T00:00:00"/>
        <d v="2021-07-31T00:00:00"/>
        <d v="2022-12-23T00:00:00"/>
        <d v="2023-08-27T00:00:00"/>
        <d v="2023-10-20T00:00:00"/>
        <d v="2018-11-24T00:00:00"/>
        <d v="2024-05-20T00:00:00"/>
        <d v="2023-10-11T00:00:00"/>
        <d v="2022-04-30T00:00:00"/>
        <d v="2020-01-17T00:00:00"/>
        <d v="2021-10-09T00:00:00"/>
        <d v="2019-02-14T00:00:00"/>
        <d v="2019-09-12T00:00:00"/>
        <d v="2018-12-26T00:00:00"/>
        <d v="2021-08-27T00:00:00"/>
        <d v="2024-06-04T00:00:00"/>
        <d v="2023-12-09T00:00:00"/>
        <d v="2023-08-13T00:00:00"/>
        <d v="2021-12-20T00:00:00"/>
        <d v="2019-10-13T00:00:00"/>
        <d v="2021-07-21T00:00:00"/>
        <d v="2021-04-24T00:00:00"/>
        <d v="2018-02-05T00:00:00"/>
        <d v="2022-10-02T00:00:00"/>
        <d v="2018-10-12T00:00:00"/>
        <d v="2019-02-28T00:00:00"/>
        <d v="2021-01-13T00:00:00"/>
        <d v="2019-03-05T00:00:00"/>
        <d v="2018-03-09T00:00:00"/>
        <d v="2024-09-09T00:00:00"/>
        <d v="2022-02-09T00:00:00"/>
        <d v="2019-02-20T00:00:00"/>
        <d v="2020-01-31T00:00:00"/>
        <d v="2019-02-06T00:00:00"/>
        <d v="2020-01-02T00:00:00"/>
        <d v="2020-03-26T00:00:00"/>
        <d v="2022-09-27T00:00:00"/>
        <d v="2022-05-25T00:00:00"/>
        <d v="2018-05-12T00:00:00"/>
        <d v="2019-05-17T00:00:00"/>
        <d v="2024-01-18T00:00:00"/>
        <d v="2021-05-13T00:00:00"/>
        <d v="2021-05-19T00:00:00"/>
        <d v="2023-08-17T00:00:00"/>
        <d v="2018-01-30T00:00:00"/>
        <d v="2022-01-19T00:00:00"/>
        <d v="2020-06-05T00:00:00"/>
        <d v="2021-12-23T00:00:00"/>
        <d v="2024-03-11T00:00:00"/>
        <d v="2018-06-09T00:00:00"/>
        <d v="2019-01-24T00:00:00"/>
        <d v="2023-06-19T00:00:00"/>
        <d v="2022-05-06T00:00:00"/>
        <d v="2020-09-08T00:00:00"/>
        <d v="2018-12-28T00:00:00"/>
        <d v="2018-03-28T00:00:00"/>
        <d v="2020-10-29T00:00:00"/>
        <d v="2021-06-21T00:00:00"/>
        <d v="2019-08-17T00:00:00"/>
        <d v="2024-01-20T00:00:00"/>
        <d v="2018-11-28T00:00:00"/>
        <d v="2024-03-21T00:00:00"/>
        <d v="2019-07-07T00:00:00"/>
        <d v="2020-04-02T00:00:00"/>
        <d v="2018-07-15T00:00:00"/>
        <d v="2023-08-05T00:00:00"/>
        <d v="2021-12-15T00:00:00"/>
        <d v="2024-06-18T00:00:00"/>
        <d v="2018-03-10T00:00:00"/>
        <d v="2019-12-13T00:00:00"/>
        <d v="2019-06-26T00:00:00"/>
        <d v="2022-04-10T00:00:00"/>
        <d v="2021-04-16T00:00:00"/>
        <d v="2023-10-04T00:00:00"/>
        <d v="2019-07-26T00:00:00"/>
        <d v="2023-03-27T00:00:00"/>
        <d v="2020-05-07T00:00:00"/>
        <d v="2021-02-04T00:00:00"/>
        <d v="2020-02-21T00:00:00"/>
        <d v="2020-07-12T00:00:00"/>
        <d v="2024-04-20T00:00:00"/>
        <d v="2024-02-15T00:00:00"/>
        <d v="2022-03-25T00:00:00"/>
        <d v="2024-04-14T00:00:00"/>
        <d v="2022-04-05T00:00:00"/>
        <d v="2018-04-29T00:00:00"/>
        <d v="2019-06-27T00:00:00"/>
        <d v="2023-03-22T00:00:00"/>
        <d v="2023-08-12T00:00:00"/>
        <d v="2022-05-12T00:00:00"/>
        <d v="2024-01-17T00:00:00"/>
        <d v="2023-04-21T00:00:00"/>
        <d v="2018-08-24T00:00:00"/>
        <d v="2021-02-08T00:00:00"/>
        <d v="2020-04-15T00:00:00"/>
        <d v="2018-01-08T00:00:00"/>
        <d v="2020-02-14T00:00:00"/>
        <d v="2019-02-07T00:00:00"/>
        <d v="2020-02-16T00:00:00"/>
        <d v="2023-05-20T00:00:00"/>
        <d v="2018-03-17T00:00:00"/>
        <d v="2019-12-04T00:00:00"/>
        <d v="2021-09-07T00:00:00"/>
        <d v="2023-07-26T00:00:00"/>
        <d v="2022-08-12T00:00:00"/>
        <d v="2024-08-03T00:00:00"/>
        <d v="2020-04-11T00:00:00"/>
        <d v="2020-01-12T00:00:00"/>
        <d v="2022-03-13T00:00:00"/>
        <d v="2021-11-03T00:00:00"/>
        <d v="2020-02-25T00:00:00"/>
        <d v="2020-05-21T00:00:00"/>
        <d v="2019-01-30T00:00:00"/>
        <d v="2023-12-22T00:00:00"/>
        <d v="2020-03-22T00:00:00"/>
        <d v="2018-06-14T00:00:00"/>
        <d v="2023-04-13T00:00:00"/>
        <d v="2022-02-18T00:00:00"/>
        <d v="2018-12-27T00:00:00"/>
        <d v="2018-05-22T00:00:00"/>
        <d v="2021-11-24T00:00:00"/>
        <d v="2024-01-23T00:00:00"/>
        <d v="2023-05-09T00:00:00"/>
        <d v="2023-08-18T00:00:00"/>
        <d v="2022-07-09T00:00:00"/>
        <d v="2022-06-14T00:00:00"/>
        <d v="2023-07-31T00:00:00"/>
        <d v="2023-04-05T00:00:00"/>
        <d v="2024-11-27T00:00:00"/>
        <d v="2022-09-26T00:00:00"/>
        <d v="2021-04-23T00:00:00"/>
        <d v="2020-02-19T00:00:00"/>
        <d v="2022-11-29T00:00:00"/>
        <d v="2018-11-27T00:00:00"/>
        <d v="2019-05-18T00:00:00"/>
        <d v="2020-05-28T00:00:00"/>
        <d v="2018-05-08T00:00:00"/>
        <d v="2021-11-02T00:00:00"/>
        <d v="2023-07-03T00:00:00"/>
        <d v="2024-07-05T00:00:00"/>
        <d v="2023-06-24T00:00:00"/>
        <d v="2021-09-25T00:00:00"/>
        <d v="2018-07-16T00:00:00"/>
        <d v="2018-11-20T00:00:00"/>
        <d v="2019-04-21T00:00:00"/>
        <d v="2024-07-31T00:00:00"/>
        <d v="2020-05-15T00:00:00"/>
        <d v="2020-06-09T00:00:00"/>
        <d v="2018-04-28T00:00:00"/>
        <d v="2022-01-18T00:00:00"/>
        <d v="2021-05-18T00:00:00"/>
        <d v="2018-03-07T00:00:00"/>
        <d v="2022-01-27T00:00:00"/>
        <d v="2019-08-07T00:00:00"/>
        <d v="2024-07-25T00:00:00"/>
        <d v="2020-05-06T00:00:00"/>
        <d v="2023-12-13T00:00:00"/>
        <d v="2023-11-19T00:00:00"/>
        <d v="2021-05-07T00:00:00"/>
        <d v="2024-10-17T00:00:00"/>
        <d v="2021-05-12T00:00:00"/>
        <d v="2019-12-27T00:00:00"/>
        <d v="2022-04-17T00:00:00"/>
        <d v="2023-01-20T00:00:00"/>
        <d v="2022-09-20T00:00:00"/>
        <d v="2021-11-05T00:00:00"/>
        <d v="2021-02-06T00:00:00"/>
        <d v="2023-03-12T00:00:00"/>
        <d v="2019-05-22T00:00:00"/>
        <d v="2021-10-20T00:00:00"/>
        <d v="2020-06-06T00:00:00"/>
        <d v="2019-08-30T00:00:00"/>
        <d v="2019-12-14T00:00:00"/>
        <d v="2021-11-09T00:00:00"/>
        <d v="2022-04-07T00:00:00"/>
        <d v="2022-05-13T00:00:00"/>
        <d v="2019-08-23T00:00:00"/>
        <d v="2020-05-05T00:00:00"/>
        <d v="2022-05-18T00:00:00"/>
        <d v="2018-07-19T00:00:00"/>
        <d v="2020-10-19T00:00:00"/>
        <d v="2019-07-02T00:00:00"/>
        <d v="2022-05-26T00:00:00"/>
        <d v="2019-01-29T00:00:00"/>
        <d v="2023-09-09T00:00:00"/>
        <d v="2021-11-29T00:00:00"/>
        <d v="2023-06-02T00:00:00"/>
        <d v="2024-04-10T00:00:00"/>
        <d v="2024-11-10T00:00:00"/>
        <d v="2023-04-07T00:00:00"/>
        <d v="2019-10-17T00:00:00"/>
        <d v="2023-04-16T00:00:00"/>
        <d v="2020-03-28T00:00:00"/>
        <d v="2022-08-26T00:00:00"/>
        <d v="2020-01-21T00:00:00"/>
        <d v="2023-07-12T00:00:00"/>
        <d v="2022-07-06T00:00:00"/>
        <d v="2023-06-07T00:00:00"/>
        <d v="2024-06-09T00:00:00"/>
        <d v="2021-11-08T00:00:00"/>
        <d v="2023-11-10T00:00:00"/>
        <d v="2020-04-08T00:00:00"/>
        <d v="2021-04-13T00:00:00"/>
        <d v="2019-08-20T00:00:00"/>
        <d v="2022-11-13T00:00:00"/>
        <d v="2021-09-29T00:00:00"/>
        <d v="2020-02-13T00:00:00"/>
        <d v="2024-07-28T00:00:00"/>
        <d v="2024-07-15T00:00:00"/>
        <d v="2020-03-02T00:00:00"/>
        <d v="2022-03-14T00:00:00"/>
        <d v="2020-01-20T00:00:00"/>
        <d v="2023-04-29T00:00:00"/>
        <d v="2021-06-20T00:00:00"/>
        <d v="2018-04-27T00:00:00"/>
        <d v="2023-05-21T00:00:00"/>
        <d v="2019-05-30T00:00:00"/>
        <d v="2022-07-27T00:00:00"/>
        <d v="2020-05-03T00:00:00"/>
        <d v="2019-05-29T00:00:00"/>
        <d v="2021-08-30T00:00:00"/>
        <d v="2022-12-24T00:00:00"/>
        <d v="2020-07-09T00:00:00"/>
        <d v="2021-04-03T00:00:00"/>
        <d v="2022-09-29T00:00:00"/>
        <d v="2020-07-06T00:00:00"/>
        <d v="2018-08-11T00:00:00"/>
        <d v="2022-07-26T00:00:00"/>
        <d v="2020-09-14T00:00:00"/>
        <d v="2024-09-29T00:00:00"/>
        <d v="2020-10-11T00:00:00"/>
        <d v="2019-12-12T00:00:00"/>
        <d v="2023-02-10T00:00:00"/>
        <d v="2023-07-20T00:00:00"/>
        <d v="2024-08-12T00:00:00"/>
        <d v="2024-06-02T00:00:00"/>
        <d v="2023-09-24T00:00:00"/>
        <d v="2024-10-06T00:00:00"/>
        <d v="2018-03-24T00:00:00"/>
        <d v="2022-03-05T00:00:00"/>
        <d v="2023-01-14T00:00:00"/>
        <d v="2022-01-17T00:00:00"/>
        <d v="2018-10-18T00:00:00"/>
        <d v="2022-09-07T00:00:00"/>
        <d v="2018-08-14T00:00:00"/>
        <d v="2021-12-26T00:00:00"/>
        <d v="2019-08-05T00:00:00"/>
        <d v="2020-01-15T00:00:00"/>
        <d v="2023-10-23T00:00:00"/>
        <d v="2022-04-12T00:00:00"/>
        <d v="2018-11-05T00:00:00"/>
        <d v="2023-02-18T00:00:00"/>
        <d v="2020-03-06T00:00:00"/>
        <d v="2019-09-03T00:00:00"/>
        <d v="2018-10-31T00:00:00"/>
        <d v="2022-10-09T00:00:00"/>
        <d v="2019-04-19T00:00:00"/>
        <d v="2020-10-26T00:00:00"/>
        <d v="2021-10-02T00:00:00"/>
        <d v="2019-11-08T00:00:00"/>
        <d v="2018-11-04T00:00:00"/>
        <d v="2024-04-05T00:00:00"/>
        <d v="2024-04-24T00:00:00"/>
        <d v="2019-07-24T00:00:00"/>
        <d v="2024-06-13T00:00:00"/>
        <d v="2019-10-21T00:00:00"/>
        <d v="2024-09-28T00:00:00"/>
        <d v="2020-02-24T00:00:00"/>
        <d v="2018-08-07T00:00:00"/>
        <d v="2020-11-05T00:00:00"/>
        <d v="2024-08-18T00:00:00"/>
        <d v="2024-06-25T00:00:00"/>
        <d v="2023-08-28T00:00:00"/>
        <d v="2019-03-29T00:00:00"/>
        <d v="2018-01-19T00:00:00"/>
        <d v="2019-01-04T00:00:00"/>
        <d v="2024-12-01T00:00:00"/>
        <d v="2019-02-15T00:00:00"/>
        <d v="2022-10-28T00:00:00"/>
        <d v="2021-03-14T00:00:00"/>
        <d v="2024-01-14T00:00:00"/>
        <d v="2023-01-28T00:00:00"/>
        <d v="2023-05-13T00:00:00"/>
        <d v="2022-11-18T00:00:00"/>
        <d v="2021-11-23T00:00:00"/>
        <d v="2022-04-14T00:00:00"/>
        <d v="2018-06-04T00:00:00"/>
        <d v="2023-10-27T00:00:00"/>
        <d v="2021-05-29T00:00:00"/>
      </sharedItems>
      <fieldGroup par="13"/>
    </cacheField>
    <cacheField name="ExitDate" numFmtId="14">
      <sharedItems containsNonDate="0" containsDate="1" containsString="0" containsBlank="1" minDate="2018-09-10T00:00:00" maxDate="2028-06-25T00:00:00" count="169">
        <m/>
        <d v="2023-05-13T00:00:00"/>
        <d v="2023-12-20T00:00:00"/>
        <d v="2022-10-15T00:00:00"/>
        <d v="2022-12-29T00:00:00"/>
        <d v="2021-06-03T00:00:00"/>
        <d v="2023-03-08T00:00:00"/>
        <d v="2023-03-06T00:00:00"/>
        <d v="2027-02-23T00:00:00"/>
        <d v="2021-01-30T00:00:00"/>
        <d v="2022-06-11T00:00:00"/>
        <d v="2021-11-24T00:00:00"/>
        <d v="2024-11-23T00:00:00"/>
        <d v="2022-06-13T00:00:00"/>
        <d v="2021-11-28T00:00:00"/>
        <d v="2023-03-18T00:00:00"/>
        <d v="2022-11-27T00:00:00"/>
        <d v="2027-08-03T00:00:00"/>
        <d v="2021-10-20T00:00:00"/>
        <d v="2019-10-30T00:00:00"/>
        <d v="2022-06-24T00:00:00"/>
        <d v="2028-06-24T00:00:00"/>
        <d v="2021-11-10T00:00:00"/>
        <d v="2021-07-08T00:00:00"/>
        <d v="2026-07-26T00:00:00"/>
        <d v="2018-11-03T00:00:00"/>
        <d v="2024-04-06T00:00:00"/>
        <d v="2020-12-20T00:00:00"/>
        <d v="2023-02-01T00:00:00"/>
        <d v="2021-10-25T00:00:00"/>
        <d v="2025-10-29T00:00:00"/>
        <d v="2020-07-24T00:00:00"/>
        <d v="2021-04-02T00:00:00"/>
        <d v="2026-10-09T00:00:00"/>
        <d v="2026-03-01T00:00:00"/>
        <d v="2026-06-24T00:00:00"/>
        <d v="2020-12-22T00:00:00"/>
        <d v="2022-10-27T00:00:00"/>
        <d v="2022-03-15T00:00:00"/>
        <d v="2024-03-29T00:00:00"/>
        <d v="2020-10-23T00:00:00"/>
        <d v="2025-06-07T00:00:00"/>
        <d v="2026-12-13T00:00:00"/>
        <d v="2026-08-28T00:00:00"/>
        <d v="2024-09-14T00:00:00"/>
        <d v="2019-01-15T00:00:00"/>
        <d v="2027-09-04T00:00:00"/>
        <d v="2018-09-10T00:00:00"/>
        <d v="2023-11-13T00:00:00"/>
        <d v="2023-06-03T00:00:00"/>
        <d v="2023-11-22T00:00:00"/>
        <d v="2021-08-22T00:00:00"/>
        <d v="2025-02-07T00:00:00"/>
        <d v="2020-11-01T00:00:00"/>
        <d v="2024-05-04T00:00:00"/>
        <d v="2026-12-10T00:00:00"/>
        <d v="2019-11-27T00:00:00"/>
        <d v="2022-11-30T00:00:00"/>
        <d v="2025-07-09T00:00:00"/>
        <d v="2026-06-25T00:00:00"/>
        <d v="2021-12-07T00:00:00"/>
        <d v="2024-07-01T00:00:00"/>
        <d v="2023-04-05T00:00:00"/>
        <d v="2026-07-02T00:00:00"/>
        <d v="2022-07-24T00:00:00"/>
        <d v="2021-09-07T00:00:00"/>
        <d v="2026-04-17T00:00:00"/>
        <d v="2023-01-01T00:00:00"/>
        <d v="2027-10-13T00:00:00"/>
        <d v="2019-02-22T00:00:00"/>
        <d v="2020-11-14T00:00:00"/>
        <d v="2027-07-13T00:00:00"/>
        <d v="2023-08-04T00:00:00"/>
        <d v="2020-06-24T00:00:00"/>
        <d v="2023-09-09T00:00:00"/>
        <d v="2022-04-24T00:00:00"/>
        <d v="2024-12-12T00:00:00"/>
        <d v="2021-03-05T00:00:00"/>
        <d v="2019-12-14T00:00:00"/>
        <d v="2023-02-21T00:00:00"/>
        <d v="2022-05-15T00:00:00"/>
        <d v="2026-09-16T00:00:00"/>
        <d v="2024-08-10T00:00:00"/>
        <d v="2022-09-07T00:00:00"/>
        <d v="2020-02-09T00:00:00"/>
        <d v="2020-01-01T00:00:00"/>
        <d v="2021-02-23T00:00:00"/>
        <d v="2026-04-20T00:00:00"/>
        <d v="2022-05-12T00:00:00"/>
        <d v="2021-11-09T00:00:00"/>
        <d v="2025-02-04T00:00:00"/>
        <d v="2024-11-16T00:00:00"/>
        <d v="2021-11-21T00:00:00"/>
        <d v="2022-11-11T00:00:00"/>
        <d v="2019-03-18T00:00:00"/>
        <d v="2023-01-30T00:00:00"/>
        <d v="2024-11-06T00:00:00"/>
        <d v="2021-09-13T00:00:00"/>
        <d v="2022-09-23T00:00:00"/>
        <d v="2024-02-14T00:00:00"/>
        <d v="2024-07-15T00:00:00"/>
        <d v="2018-11-25T00:00:00"/>
        <d v="2023-03-02T00:00:00"/>
        <d v="2027-06-07T00:00:00"/>
        <d v="2021-06-11T00:00:00"/>
        <d v="2024-11-15T00:00:00"/>
        <d v="2021-02-21T00:00:00"/>
        <d v="2023-12-29T00:00:00"/>
        <d v="2025-03-06T00:00:00"/>
        <d v="2025-01-21T00:00:00"/>
        <d v="2027-10-26T00:00:00"/>
        <d v="2025-01-30T00:00:00"/>
        <d v="2022-08-25T00:00:00"/>
        <d v="2023-10-09T00:00:00"/>
        <d v="2022-01-05T00:00:00"/>
        <d v="2024-05-19T00:00:00"/>
        <d v="2024-10-05T00:00:00"/>
        <d v="2024-05-20T00:00:00"/>
        <d v="2027-03-27T00:00:00"/>
        <d v="2020-07-07T00:00:00"/>
        <d v="2024-12-05T00:00:00"/>
        <d v="2024-09-09T00:00:00"/>
        <d v="2023-11-29T00:00:00"/>
        <d v="2023-09-02T00:00:00"/>
        <d v="2025-04-16T00:00:00"/>
        <d v="2020-10-17T00:00:00"/>
        <d v="2026-01-20T00:00:00"/>
        <d v="2022-03-06T00:00:00"/>
        <d v="2021-11-08T00:00:00"/>
        <d v="2022-02-05T00:00:00"/>
        <d v="2021-02-24T00:00:00"/>
        <d v="2025-04-17T00:00:00"/>
        <d v="2027-01-18T00:00:00"/>
        <d v="2023-12-30T00:00:00"/>
        <d v="2024-08-26T00:00:00"/>
        <d v="2019-08-05T00:00:00"/>
        <d v="2023-01-16T00:00:00"/>
        <d v="2023-10-04T00:00:00"/>
        <d v="2022-12-27T00:00:00"/>
        <d v="2023-02-12T00:00:00"/>
        <d v="2025-06-14T00:00:00"/>
        <d v="2025-12-07T00:00:00"/>
        <d v="2024-02-18T00:00:00"/>
        <d v="2024-03-24T00:00:00"/>
        <d v="2027-10-21T00:00:00"/>
        <d v="2025-11-19T00:00:00"/>
        <d v="2022-02-19T00:00:00"/>
        <d v="2024-04-02T00:00:00"/>
        <d v="2026-08-22T00:00:00"/>
        <d v="2023-04-20T00:00:00"/>
        <d v="2026-05-22T00:00:00"/>
        <d v="2021-12-14T00:00:00"/>
        <d v="2022-09-02T00:00:00"/>
        <d v="2023-05-01T00:00:00"/>
        <d v="2027-04-21T00:00:00"/>
        <d v="2025-01-06T00:00:00"/>
        <d v="2024-07-25T00:00:00"/>
        <d v="2025-08-23T00:00:00"/>
        <d v="2023-09-23T00:00:00"/>
        <d v="2027-01-23T00:00:00"/>
        <d v="2022-07-03T00:00:00"/>
        <d v="2023-11-03T00:00:00"/>
        <d v="2019-09-06T00:00:00"/>
        <d v="2019-04-30T00:00:00"/>
        <d v="2027-11-28T00:00:00"/>
        <d v="2024-06-07T00:00:00"/>
        <d v="2024-02-29T00:00:00"/>
        <d v="2025-03-10T00:00:00"/>
        <d v="2027-10-04T00:00:00"/>
      </sharedItems>
      <fieldGroup par="16"/>
    </cacheField>
    <cacheField name=" Employee Status" numFmtId="0">
      <sharedItems count="2">
        <s v="Still Working"/>
        <s v="Exited"/>
      </sharedItems>
    </cacheField>
    <cacheField name="Tenure" numFmtId="166">
      <sharedItems containsSemiMixedTypes="0" containsString="0" containsNumber="1" minValue="0.10136986301369863" maxValue="8.2657534246575342"/>
    </cacheField>
    <cacheField name="Exit Year" numFmtId="1">
      <sharedItems containsMixedTypes="1" containsNumber="1" containsInteger="1" minValue="2018" maxValue="2028" count="12">
        <s v=""/>
        <n v="2023"/>
        <n v="2022"/>
        <n v="2021"/>
        <n v="2027"/>
        <n v="2024"/>
        <n v="2019"/>
        <n v="2028"/>
        <n v="2026"/>
        <n v="2018"/>
        <n v="2020"/>
        <n v="2025"/>
      </sharedItems>
    </cacheField>
    <cacheField name="Salary" numFmtId="164">
      <sharedItems containsSemiMixedTypes="0" containsString="0" containsNumber="1" containsInteger="1" minValue="3001" maxValue="14996"/>
    </cacheField>
    <cacheField name="PerformanceScore" numFmtId="2">
      <sharedItems containsSemiMixedTypes="0" containsString="0" containsNumber="1" minValue="2" maxValue="5"/>
    </cacheField>
    <cacheField name="EngagementScore" numFmtId="2">
      <sharedItems containsSemiMixedTypes="0" containsString="0" containsNumber="1" minValue="1" maxValue="5"/>
    </cacheField>
    <cacheField name="AbsentDays" numFmtId="1">
      <sharedItems containsSemiMixedTypes="0" containsString="0" containsNumber="1" containsInteger="1" minValue="0" maxValue="29"/>
    </cacheField>
    <cacheField name="Months (HireDate)" numFmtId="0" databaseField="0">
      <fieldGroup base="2">
        <rangePr groupBy="months" startDate="2018-01-08T00:00:00" endDate="2024-12-30T00:00:00"/>
        <groupItems count="14">
          <s v="&lt;08-01-18"/>
          <s v="Jan"/>
          <s v="Feb"/>
          <s v="Mar"/>
          <s v="Apr"/>
          <s v="May"/>
          <s v="Jun"/>
          <s v="Jul"/>
          <s v="Aug"/>
          <s v="Sep"/>
          <s v="Oct"/>
          <s v="Nov"/>
          <s v="Dec"/>
          <s v="&gt;30-12-24"/>
        </groupItems>
      </fieldGroup>
    </cacheField>
    <cacheField name="Quarters (HireDate)" numFmtId="0" databaseField="0">
      <fieldGroup base="2">
        <rangePr groupBy="quarters" startDate="2018-01-08T00:00:00" endDate="2024-12-30T00:00:00"/>
        <groupItems count="6">
          <s v="&lt;08-01-18"/>
          <s v="Qtr1"/>
          <s v="Qtr2"/>
          <s v="Qtr3"/>
          <s v="Qtr4"/>
          <s v="&gt;30-12-24"/>
        </groupItems>
      </fieldGroup>
    </cacheField>
    <cacheField name="Years (HireDate)" numFmtId="0" databaseField="0">
      <fieldGroup base="2">
        <rangePr groupBy="years" startDate="2018-01-08T00:00:00" endDate="2024-12-30T00:00:00"/>
        <groupItems count="9">
          <s v="&lt;08-01-18"/>
          <s v="2018"/>
          <s v="2019"/>
          <s v="2020"/>
          <s v="2021"/>
          <s v="2022"/>
          <s v="2023"/>
          <s v="2024"/>
          <s v="&gt;30-12-24"/>
        </groupItems>
      </fieldGroup>
    </cacheField>
    <cacheField name="Months (ExitDate)" numFmtId="0" databaseField="0">
      <fieldGroup base="3">
        <rangePr groupBy="months" startDate="2018-09-10T00:00:00" endDate="2028-06-25T00:00:00"/>
        <groupItems count="14">
          <s v="&lt;10-09-18"/>
          <s v="Jan"/>
          <s v="Feb"/>
          <s v="Mar"/>
          <s v="Apr"/>
          <s v="May"/>
          <s v="Jun"/>
          <s v="Jul"/>
          <s v="Aug"/>
          <s v="Sep"/>
          <s v="Oct"/>
          <s v="Nov"/>
          <s v="Dec"/>
          <s v="&gt;25-06-28"/>
        </groupItems>
      </fieldGroup>
    </cacheField>
    <cacheField name="Quarters (ExitDate)" numFmtId="0" databaseField="0">
      <fieldGroup base="3">
        <rangePr groupBy="quarters" startDate="2018-09-10T00:00:00" endDate="2028-06-25T00:00:00"/>
        <groupItems count="6">
          <s v="&lt;10-09-18"/>
          <s v="Qtr1"/>
          <s v="Qtr2"/>
          <s v="Qtr3"/>
          <s v="Qtr4"/>
          <s v="&gt;25-06-28"/>
        </groupItems>
      </fieldGroup>
    </cacheField>
    <cacheField name="Years (ExitDate)" numFmtId="0" databaseField="0">
      <fieldGroup base="3">
        <rangePr groupBy="years" startDate="2018-09-10T00:00:00" endDate="2028-06-25T00:00:00"/>
        <groupItems count="13">
          <s v="&lt;10-09-18"/>
          <s v="2018"/>
          <s v="2019"/>
          <s v="2020"/>
          <s v="2021"/>
          <s v="2022"/>
          <s v="2023"/>
          <s v="2024"/>
          <s v="2025"/>
          <s v="2026"/>
          <s v="2027"/>
          <s v="2028"/>
          <s v="&gt;25-06-28"/>
        </groupItems>
      </fieldGroup>
    </cacheField>
  </cacheFields>
  <extLst>
    <ext xmlns:x14="http://schemas.microsoft.com/office/spreadsheetml/2009/9/main" uri="{725AE2AE-9491-48be-B2B4-4EB974FC3084}">
      <x14:pivotCacheDefinition pivotCacheId="1197856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3">
  <r>
    <n v="1"/>
    <x v="0"/>
    <x v="0"/>
    <x v="0"/>
    <x v="0"/>
    <n v="2.3561643835616439"/>
    <x v="0"/>
    <n v="8390"/>
    <n v="2.4700000000000002"/>
    <n v="1.62"/>
    <n v="10"/>
  </r>
  <r>
    <n v="2"/>
    <x v="0"/>
    <x v="1"/>
    <x v="0"/>
    <x v="0"/>
    <n v="7.1315068493150688"/>
    <x v="0"/>
    <n v="14363"/>
    <n v="2.17"/>
    <n v="3.89"/>
    <n v="29"/>
  </r>
  <r>
    <n v="3"/>
    <x v="1"/>
    <x v="2"/>
    <x v="0"/>
    <x v="0"/>
    <n v="3"/>
    <x v="0"/>
    <n v="9420"/>
    <n v="2.02"/>
    <n v="1.0900000000000001"/>
    <n v="26"/>
  </r>
  <r>
    <n v="4"/>
    <x v="2"/>
    <x v="3"/>
    <x v="0"/>
    <x v="0"/>
    <n v="2.5753424657534247"/>
    <x v="0"/>
    <n v="5047"/>
    <n v="3.37"/>
    <n v="4.1399999999999997"/>
    <n v="18"/>
  </r>
  <r>
    <n v="5"/>
    <x v="1"/>
    <x v="4"/>
    <x v="0"/>
    <x v="0"/>
    <n v="3.6657534246575341"/>
    <x v="0"/>
    <n v="8960"/>
    <n v="2.5099999999999998"/>
    <n v="1.26"/>
    <n v="3"/>
  </r>
  <r>
    <n v="6"/>
    <x v="3"/>
    <x v="5"/>
    <x v="1"/>
    <x v="1"/>
    <n v="0.54794520547945202"/>
    <x v="1"/>
    <n v="11433"/>
    <n v="2.69"/>
    <n v="1.96"/>
    <n v="27"/>
  </r>
  <r>
    <n v="7"/>
    <x v="0"/>
    <x v="6"/>
    <x v="0"/>
    <x v="0"/>
    <n v="3.9123287671232876"/>
    <x v="0"/>
    <n v="8960"/>
    <n v="2.78"/>
    <n v="3.65"/>
    <n v="1"/>
  </r>
  <r>
    <n v="8"/>
    <x v="3"/>
    <x v="7"/>
    <x v="0"/>
    <x v="0"/>
    <n v="4.4109589041095889"/>
    <x v="0"/>
    <n v="6843"/>
    <n v="4.33"/>
    <n v="4.76"/>
    <n v="29"/>
  </r>
  <r>
    <n v="9"/>
    <x v="3"/>
    <x v="8"/>
    <x v="2"/>
    <x v="1"/>
    <n v="4.0054794520547947"/>
    <x v="1"/>
    <n v="14990"/>
    <n v="4.53"/>
    <n v="3.99"/>
    <n v="14"/>
  </r>
  <r>
    <n v="10"/>
    <x v="2"/>
    <x v="9"/>
    <x v="3"/>
    <x v="1"/>
    <n v="2.7534246575342465"/>
    <x v="2"/>
    <n v="7859"/>
    <n v="2.89"/>
    <n v="1.66"/>
    <n v="24"/>
  </r>
  <r>
    <n v="11"/>
    <x v="4"/>
    <x v="10"/>
    <x v="4"/>
    <x v="1"/>
    <n v="4.0383561643835613"/>
    <x v="2"/>
    <n v="5027"/>
    <n v="2.6"/>
    <n v="3.85"/>
    <n v="2"/>
  </r>
  <r>
    <n v="12"/>
    <x v="0"/>
    <x v="11"/>
    <x v="5"/>
    <x v="1"/>
    <n v="2.8958904109589043"/>
    <x v="3"/>
    <n v="6561"/>
    <n v="4.59"/>
    <n v="3.49"/>
    <n v="1"/>
  </r>
  <r>
    <n v="13"/>
    <x v="3"/>
    <x v="12"/>
    <x v="0"/>
    <x v="0"/>
    <n v="1.8849315068493151"/>
    <x v="0"/>
    <n v="11996"/>
    <n v="4.66"/>
    <n v="2.89"/>
    <n v="4"/>
  </r>
  <r>
    <n v="14"/>
    <x v="5"/>
    <x v="13"/>
    <x v="6"/>
    <x v="1"/>
    <n v="2.5506849315068494"/>
    <x v="1"/>
    <n v="6840"/>
    <n v="2.77"/>
    <n v="1.1599999999999999"/>
    <n v="14"/>
  </r>
  <r>
    <n v="15"/>
    <x v="2"/>
    <x v="14"/>
    <x v="0"/>
    <x v="0"/>
    <n v="1.978082191780822"/>
    <x v="0"/>
    <n v="10035"/>
    <n v="3.91"/>
    <n v="2.2599999999999998"/>
    <n v="3"/>
  </r>
  <r>
    <n v="16"/>
    <x v="0"/>
    <x v="15"/>
    <x v="7"/>
    <x v="1"/>
    <n v="2.7068493150684931"/>
    <x v="1"/>
    <n v="4678"/>
    <n v="2.23"/>
    <n v="2.16"/>
    <n v="21"/>
  </r>
  <r>
    <n v="17"/>
    <x v="2"/>
    <x v="16"/>
    <x v="8"/>
    <x v="1"/>
    <n v="3.8164383561643835"/>
    <x v="4"/>
    <n v="12789"/>
    <n v="4.41"/>
    <n v="1.75"/>
    <n v="29"/>
  </r>
  <r>
    <n v="18"/>
    <x v="2"/>
    <x v="17"/>
    <x v="9"/>
    <x v="1"/>
    <n v="0.58904109589041098"/>
    <x v="3"/>
    <n v="13230"/>
    <n v="2.33"/>
    <n v="1.91"/>
    <n v="29"/>
  </r>
  <r>
    <n v="19"/>
    <x v="0"/>
    <x v="18"/>
    <x v="0"/>
    <x v="0"/>
    <n v="4.956164383561644"/>
    <x v="0"/>
    <n v="8864"/>
    <n v="3.6"/>
    <n v="2.94"/>
    <n v="0"/>
  </r>
  <r>
    <n v="20"/>
    <x v="1"/>
    <x v="19"/>
    <x v="0"/>
    <x v="0"/>
    <n v="1.4602739726027398"/>
    <x v="0"/>
    <n v="3663"/>
    <n v="3.56"/>
    <n v="3.81"/>
    <n v="16"/>
  </r>
  <r>
    <n v="21"/>
    <x v="2"/>
    <x v="20"/>
    <x v="0"/>
    <x v="0"/>
    <n v="5.2328767123287667"/>
    <x v="0"/>
    <n v="4291"/>
    <n v="2.9"/>
    <n v="2.14"/>
    <n v="16"/>
  </r>
  <r>
    <n v="22"/>
    <x v="2"/>
    <x v="21"/>
    <x v="0"/>
    <x v="0"/>
    <n v="8"/>
    <x v="0"/>
    <n v="7737"/>
    <n v="3.04"/>
    <n v="3.54"/>
    <n v="29"/>
  </r>
  <r>
    <n v="23"/>
    <x v="1"/>
    <x v="22"/>
    <x v="0"/>
    <x v="0"/>
    <n v="1.3671232876712329"/>
    <x v="0"/>
    <n v="13969"/>
    <n v="4.0199999999999996"/>
    <n v="4.05"/>
    <n v="26"/>
  </r>
  <r>
    <n v="24"/>
    <x v="3"/>
    <x v="23"/>
    <x v="0"/>
    <x v="0"/>
    <n v="1.3315068493150686"/>
    <x v="0"/>
    <n v="5327"/>
    <n v="3.2"/>
    <n v="4.2699999999999996"/>
    <n v="15"/>
  </r>
  <r>
    <n v="25"/>
    <x v="1"/>
    <x v="24"/>
    <x v="10"/>
    <x v="1"/>
    <n v="0.93698630136986305"/>
    <x v="2"/>
    <n v="7282"/>
    <n v="3.77"/>
    <n v="3.71"/>
    <n v="18"/>
  </r>
  <r>
    <n v="26"/>
    <x v="5"/>
    <x v="25"/>
    <x v="0"/>
    <x v="0"/>
    <n v="3.6684931506849314"/>
    <x v="0"/>
    <n v="14411"/>
    <n v="4.07"/>
    <n v="2.5499999999999998"/>
    <n v="17"/>
  </r>
  <r>
    <n v="27"/>
    <x v="5"/>
    <x v="26"/>
    <x v="11"/>
    <x v="1"/>
    <n v="2.4328767123287673"/>
    <x v="3"/>
    <n v="11155"/>
    <n v="3.62"/>
    <n v="3.78"/>
    <n v="6"/>
  </r>
  <r>
    <n v="28"/>
    <x v="2"/>
    <x v="27"/>
    <x v="0"/>
    <x v="0"/>
    <n v="6.7917808219178086"/>
    <x v="0"/>
    <n v="11815"/>
    <n v="2.73"/>
    <n v="1.37"/>
    <n v="11"/>
  </r>
  <r>
    <n v="29"/>
    <x v="5"/>
    <x v="28"/>
    <x v="0"/>
    <x v="0"/>
    <n v="7.5671232876712331"/>
    <x v="0"/>
    <n v="10158"/>
    <n v="4.18"/>
    <n v="4.59"/>
    <n v="23"/>
  </r>
  <r>
    <n v="30"/>
    <x v="4"/>
    <x v="29"/>
    <x v="0"/>
    <x v="0"/>
    <n v="6.6054794520547944"/>
    <x v="0"/>
    <n v="4648"/>
    <n v="3.82"/>
    <n v="1.04"/>
    <n v="29"/>
  </r>
  <r>
    <n v="31"/>
    <x v="4"/>
    <x v="30"/>
    <x v="12"/>
    <x v="1"/>
    <n v="2.3397260273972602"/>
    <x v="5"/>
    <n v="5961"/>
    <n v="4.08"/>
    <n v="3.61"/>
    <n v="8"/>
  </r>
  <r>
    <n v="32"/>
    <x v="1"/>
    <x v="31"/>
    <x v="0"/>
    <x v="0"/>
    <n v="5.4767123287671229"/>
    <x v="0"/>
    <n v="9944"/>
    <n v="3.1"/>
    <n v="3.98"/>
    <n v="2"/>
  </r>
  <r>
    <n v="33"/>
    <x v="4"/>
    <x v="32"/>
    <x v="0"/>
    <x v="0"/>
    <n v="1.9205479452054794"/>
    <x v="0"/>
    <n v="13927"/>
    <n v="2.8"/>
    <n v="1.98"/>
    <n v="5"/>
  </r>
  <r>
    <n v="34"/>
    <x v="5"/>
    <x v="33"/>
    <x v="13"/>
    <x v="1"/>
    <n v="1.547945205479452"/>
    <x v="2"/>
    <n v="13677"/>
    <n v="3.05"/>
    <n v="3.58"/>
    <n v="14"/>
  </r>
  <r>
    <n v="35"/>
    <x v="0"/>
    <x v="34"/>
    <x v="0"/>
    <x v="0"/>
    <n v="5.463013698630137"/>
    <x v="0"/>
    <n v="14259"/>
    <n v="2.0699999999999998"/>
    <n v="3.58"/>
    <n v="16"/>
  </r>
  <r>
    <n v="36"/>
    <x v="3"/>
    <x v="35"/>
    <x v="14"/>
    <x v="1"/>
    <n v="2.3890410958904109"/>
    <x v="3"/>
    <n v="13716"/>
    <n v="4.24"/>
    <n v="4.8099999999999996"/>
    <n v="28"/>
  </r>
  <r>
    <n v="37"/>
    <x v="0"/>
    <x v="36"/>
    <x v="0"/>
    <x v="0"/>
    <n v="6.5095890410958903"/>
    <x v="0"/>
    <n v="3606"/>
    <n v="2.88"/>
    <n v="2.54"/>
    <n v="22"/>
  </r>
  <r>
    <n v="38"/>
    <x v="5"/>
    <x v="37"/>
    <x v="0"/>
    <x v="0"/>
    <n v="4.4904109589041097"/>
    <x v="0"/>
    <n v="11319"/>
    <n v="4.53"/>
    <n v="4.72"/>
    <n v="13"/>
  </r>
  <r>
    <n v="39"/>
    <x v="3"/>
    <x v="38"/>
    <x v="0"/>
    <x v="0"/>
    <n v="6.2356164383561641"/>
    <x v="0"/>
    <n v="4686"/>
    <n v="4.63"/>
    <n v="3.96"/>
    <n v="0"/>
  </r>
  <r>
    <n v="40"/>
    <x v="3"/>
    <x v="39"/>
    <x v="0"/>
    <x v="0"/>
    <n v="1.6082191780821917"/>
    <x v="0"/>
    <n v="10343"/>
    <n v="3.26"/>
    <n v="2.02"/>
    <n v="23"/>
  </r>
  <r>
    <n v="41"/>
    <x v="2"/>
    <x v="40"/>
    <x v="15"/>
    <x v="1"/>
    <n v="0.10410958904109589"/>
    <x v="1"/>
    <n v="5950"/>
    <n v="3.95"/>
    <n v="3.81"/>
    <n v="15"/>
  </r>
  <r>
    <n v="42"/>
    <x v="5"/>
    <x v="41"/>
    <x v="0"/>
    <x v="0"/>
    <n v="6.2767123287671236"/>
    <x v="0"/>
    <n v="8960"/>
    <n v="3.32"/>
    <n v="3.69"/>
    <n v="18"/>
  </r>
  <r>
    <n v="43"/>
    <x v="3"/>
    <x v="42"/>
    <x v="0"/>
    <x v="0"/>
    <n v="2.8767123287671232"/>
    <x v="0"/>
    <n v="4148"/>
    <n v="2.75"/>
    <n v="1.1599999999999999"/>
    <n v="14"/>
  </r>
  <r>
    <n v="44"/>
    <x v="1"/>
    <x v="43"/>
    <x v="0"/>
    <x v="0"/>
    <n v="2.1150684931506851"/>
    <x v="0"/>
    <n v="13852"/>
    <n v="2.65"/>
    <n v="3.49"/>
    <n v="3"/>
  </r>
  <r>
    <n v="45"/>
    <x v="1"/>
    <x v="44"/>
    <x v="16"/>
    <x v="1"/>
    <n v="1.106849315068493"/>
    <x v="2"/>
    <n v="7142"/>
    <n v="2.4"/>
    <n v="4.88"/>
    <n v="9"/>
  </r>
  <r>
    <n v="46"/>
    <x v="4"/>
    <x v="45"/>
    <x v="0"/>
    <x v="0"/>
    <n v="3.7479452054794522"/>
    <x v="0"/>
    <n v="11311"/>
    <n v="2.2400000000000002"/>
    <n v="1.1000000000000001"/>
    <n v="20"/>
  </r>
  <r>
    <n v="47"/>
    <x v="4"/>
    <x v="46"/>
    <x v="0"/>
    <x v="0"/>
    <n v="4.882191780821918"/>
    <x v="0"/>
    <n v="4931"/>
    <n v="2.4700000000000002"/>
    <n v="2"/>
    <n v="29"/>
  </r>
  <r>
    <n v="48"/>
    <x v="4"/>
    <x v="47"/>
    <x v="0"/>
    <x v="0"/>
    <n v="5.2684931506849315"/>
    <x v="0"/>
    <n v="10404"/>
    <n v="4.21"/>
    <n v="3.22"/>
    <n v="21"/>
  </r>
  <r>
    <n v="49"/>
    <x v="5"/>
    <x v="48"/>
    <x v="0"/>
    <x v="0"/>
    <n v="1.6164383561643836"/>
    <x v="0"/>
    <n v="6147"/>
    <n v="2.36"/>
    <n v="2.37"/>
    <n v="27"/>
  </r>
  <r>
    <n v="50"/>
    <x v="4"/>
    <x v="49"/>
    <x v="0"/>
    <x v="0"/>
    <n v="6.2246575342465755"/>
    <x v="0"/>
    <n v="5141"/>
    <n v="3.42"/>
    <n v="1.39"/>
    <n v="15"/>
  </r>
  <r>
    <n v="51"/>
    <x v="1"/>
    <x v="50"/>
    <x v="17"/>
    <x v="1"/>
    <n v="3.8"/>
    <x v="4"/>
    <n v="10421"/>
    <n v="3.85"/>
    <n v="3.54"/>
    <n v="1"/>
  </r>
  <r>
    <n v="52"/>
    <x v="2"/>
    <x v="51"/>
    <x v="0"/>
    <x v="0"/>
    <n v="4.6054794520547944"/>
    <x v="0"/>
    <n v="9905"/>
    <n v="3.62"/>
    <n v="3.74"/>
    <n v="15"/>
  </r>
  <r>
    <n v="53"/>
    <x v="2"/>
    <x v="17"/>
    <x v="0"/>
    <x v="0"/>
    <n v="5.7917808219178086"/>
    <x v="0"/>
    <n v="12087"/>
    <n v="4.03"/>
    <n v="3.29"/>
    <n v="0"/>
  </r>
  <r>
    <n v="54"/>
    <x v="5"/>
    <x v="52"/>
    <x v="0"/>
    <x v="0"/>
    <n v="6.8219178082191778"/>
    <x v="0"/>
    <n v="14690"/>
    <n v="4.88"/>
    <n v="4.62"/>
    <n v="11"/>
  </r>
  <r>
    <n v="55"/>
    <x v="1"/>
    <x v="53"/>
    <x v="0"/>
    <x v="0"/>
    <n v="2.6739726027397261"/>
    <x v="0"/>
    <n v="8726"/>
    <n v="3.85"/>
    <n v="2.35"/>
    <n v="25"/>
  </r>
  <r>
    <n v="56"/>
    <x v="2"/>
    <x v="54"/>
    <x v="0"/>
    <x v="0"/>
    <n v="4.8876712328767127"/>
    <x v="0"/>
    <n v="12817"/>
    <n v="3.49"/>
    <n v="3.77"/>
    <n v="17"/>
  </r>
  <r>
    <n v="57"/>
    <x v="0"/>
    <x v="55"/>
    <x v="0"/>
    <x v="0"/>
    <n v="4.8547945205479452"/>
    <x v="0"/>
    <n v="10543"/>
    <n v="2.85"/>
    <n v="1.71"/>
    <n v="8"/>
  </r>
  <r>
    <n v="58"/>
    <x v="5"/>
    <x v="56"/>
    <x v="0"/>
    <x v="0"/>
    <n v="6.7013698630136984"/>
    <x v="0"/>
    <n v="4122"/>
    <n v="4.33"/>
    <n v="2.36"/>
    <n v="29"/>
  </r>
  <r>
    <n v="59"/>
    <x v="1"/>
    <x v="57"/>
    <x v="0"/>
    <x v="0"/>
    <n v="6.7561643835616438"/>
    <x v="0"/>
    <n v="6440"/>
    <n v="2.71"/>
    <n v="2.5099999999999998"/>
    <n v="16"/>
  </r>
  <r>
    <n v="60"/>
    <x v="4"/>
    <x v="58"/>
    <x v="0"/>
    <x v="0"/>
    <n v="4.2"/>
    <x v="0"/>
    <n v="4365"/>
    <n v="2.16"/>
    <n v="4.83"/>
    <n v="18"/>
  </r>
  <r>
    <n v="61"/>
    <x v="1"/>
    <x v="59"/>
    <x v="0"/>
    <x v="0"/>
    <n v="3.4328767123287673"/>
    <x v="0"/>
    <n v="3717"/>
    <n v="3.48"/>
    <n v="1.33"/>
    <n v="4"/>
  </r>
  <r>
    <n v="62"/>
    <x v="4"/>
    <x v="60"/>
    <x v="0"/>
    <x v="0"/>
    <n v="3.6931506849315068"/>
    <x v="0"/>
    <n v="14130"/>
    <n v="4.34"/>
    <n v="1.45"/>
    <n v="20"/>
  </r>
  <r>
    <n v="63"/>
    <x v="3"/>
    <x v="61"/>
    <x v="0"/>
    <x v="0"/>
    <n v="4.1726027397260275"/>
    <x v="0"/>
    <n v="14486"/>
    <n v="3.64"/>
    <n v="3.82"/>
    <n v="14"/>
  </r>
  <r>
    <n v="64"/>
    <x v="2"/>
    <x v="62"/>
    <x v="0"/>
    <x v="0"/>
    <n v="6.1287671232876715"/>
    <x v="0"/>
    <n v="3953"/>
    <n v="2.25"/>
    <n v="3.8"/>
    <n v="9"/>
  </r>
  <r>
    <n v="65"/>
    <x v="5"/>
    <x v="63"/>
    <x v="0"/>
    <x v="0"/>
    <n v="3.7780821917808218"/>
    <x v="0"/>
    <n v="5681"/>
    <n v="2.7"/>
    <n v="3.33"/>
    <n v="12"/>
  </r>
  <r>
    <n v="66"/>
    <x v="1"/>
    <x v="64"/>
    <x v="0"/>
    <x v="0"/>
    <n v="2.7726027397260276"/>
    <x v="0"/>
    <n v="12872"/>
    <n v="4.26"/>
    <n v="2.5099999999999998"/>
    <n v="18"/>
  </r>
  <r>
    <n v="67"/>
    <x v="3"/>
    <x v="65"/>
    <x v="18"/>
    <x v="1"/>
    <n v="0.88767123287671235"/>
    <x v="3"/>
    <n v="13406"/>
    <n v="2.33"/>
    <n v="2.97"/>
    <n v="12"/>
  </r>
  <r>
    <n v="68"/>
    <x v="3"/>
    <x v="66"/>
    <x v="0"/>
    <x v="0"/>
    <n v="8.2328767123287676"/>
    <x v="0"/>
    <n v="12273"/>
    <n v="4.47"/>
    <n v="3.98"/>
    <n v="2"/>
  </r>
  <r>
    <n v="69"/>
    <x v="3"/>
    <x v="67"/>
    <x v="0"/>
    <x v="0"/>
    <n v="4.6082191780821917"/>
    <x v="0"/>
    <n v="3504"/>
    <n v="4.6100000000000003"/>
    <n v="1.89"/>
    <n v="5"/>
  </r>
  <r>
    <n v="70"/>
    <x v="0"/>
    <x v="68"/>
    <x v="19"/>
    <x v="1"/>
    <n v="1.3397260273972602"/>
    <x v="6"/>
    <n v="8960"/>
    <n v="3.58"/>
    <n v="4.97"/>
    <n v="4"/>
  </r>
  <r>
    <n v="71"/>
    <x v="5"/>
    <x v="69"/>
    <x v="0"/>
    <x v="0"/>
    <n v="5.2301369863013702"/>
    <x v="0"/>
    <n v="14704"/>
    <n v="4.09"/>
    <n v="2.82"/>
    <n v="20"/>
  </r>
  <r>
    <n v="72"/>
    <x v="5"/>
    <x v="70"/>
    <x v="0"/>
    <x v="0"/>
    <n v="3.2575342465753425"/>
    <x v="0"/>
    <n v="5703"/>
    <n v="4.88"/>
    <n v="1.23"/>
    <n v="5"/>
  </r>
  <r>
    <n v="73"/>
    <x v="1"/>
    <x v="71"/>
    <x v="0"/>
    <x v="0"/>
    <n v="2.558904109589041"/>
    <x v="0"/>
    <n v="7468"/>
    <n v="3.39"/>
    <n v="2.41"/>
    <n v="17"/>
  </r>
  <r>
    <n v="74"/>
    <x v="0"/>
    <x v="72"/>
    <x v="0"/>
    <x v="0"/>
    <n v="6.065753424657534"/>
    <x v="0"/>
    <n v="7835"/>
    <n v="3.61"/>
    <n v="2.2400000000000002"/>
    <n v="19"/>
  </r>
  <r>
    <n v="75"/>
    <x v="0"/>
    <x v="73"/>
    <x v="0"/>
    <x v="0"/>
    <n v="5.2438356164383562"/>
    <x v="0"/>
    <n v="14148"/>
    <n v="4.8499999999999996"/>
    <n v="3.9"/>
    <n v="14"/>
  </r>
  <r>
    <n v="76"/>
    <x v="2"/>
    <x v="74"/>
    <x v="20"/>
    <x v="1"/>
    <n v="0.44109589041095892"/>
    <x v="2"/>
    <n v="5871"/>
    <n v="2.4900000000000002"/>
    <n v="2.65"/>
    <n v="21"/>
  </r>
  <r>
    <n v="77"/>
    <x v="4"/>
    <x v="75"/>
    <x v="21"/>
    <x v="1"/>
    <n v="3.4904109589041097"/>
    <x v="7"/>
    <n v="10449"/>
    <n v="4.53"/>
    <n v="4.3499999999999996"/>
    <n v="1"/>
  </r>
  <r>
    <n v="78"/>
    <x v="4"/>
    <x v="76"/>
    <x v="0"/>
    <x v="0"/>
    <n v="4.9150684931506845"/>
    <x v="0"/>
    <n v="3404"/>
    <n v="4.4400000000000004"/>
    <n v="5"/>
    <n v="5"/>
  </r>
  <r>
    <n v="79"/>
    <x v="0"/>
    <x v="21"/>
    <x v="22"/>
    <x v="1"/>
    <n v="3.5753424657534247"/>
    <x v="3"/>
    <n v="6636"/>
    <n v="2.74"/>
    <n v="2.8"/>
    <n v="13"/>
  </r>
  <r>
    <n v="80"/>
    <x v="0"/>
    <x v="77"/>
    <x v="0"/>
    <x v="0"/>
    <n v="2.7150684931506848"/>
    <x v="0"/>
    <n v="3716"/>
    <n v="4.2699999999999996"/>
    <n v="1.19"/>
    <n v="7"/>
  </r>
  <r>
    <n v="81"/>
    <x v="2"/>
    <x v="78"/>
    <x v="0"/>
    <x v="0"/>
    <n v="6.3041095890410963"/>
    <x v="0"/>
    <n v="11865"/>
    <n v="2.92"/>
    <n v="4.2699999999999996"/>
    <n v="11"/>
  </r>
  <r>
    <n v="82"/>
    <x v="3"/>
    <x v="79"/>
    <x v="0"/>
    <x v="0"/>
    <n v="6.9917808219178079"/>
    <x v="0"/>
    <n v="7858"/>
    <n v="2.09"/>
    <n v="4.0199999999999996"/>
    <n v="20"/>
  </r>
  <r>
    <n v="83"/>
    <x v="5"/>
    <x v="80"/>
    <x v="0"/>
    <x v="0"/>
    <n v="2.1479452054794521"/>
    <x v="0"/>
    <n v="7530"/>
    <n v="4.9400000000000004"/>
    <n v="3.43"/>
    <n v="17"/>
  </r>
  <r>
    <n v="84"/>
    <x v="5"/>
    <x v="81"/>
    <x v="0"/>
    <x v="0"/>
    <n v="7.1917808219178081"/>
    <x v="0"/>
    <n v="13674"/>
    <n v="3.54"/>
    <n v="4.13"/>
    <n v="27"/>
  </r>
  <r>
    <n v="85"/>
    <x v="2"/>
    <x v="82"/>
    <x v="0"/>
    <x v="0"/>
    <n v="8.1726027397260275"/>
    <x v="0"/>
    <n v="10730"/>
    <n v="3.38"/>
    <n v="4.37"/>
    <n v="16"/>
  </r>
  <r>
    <n v="86"/>
    <x v="0"/>
    <x v="83"/>
    <x v="0"/>
    <x v="0"/>
    <n v="5.0109589041095894"/>
    <x v="0"/>
    <n v="13785"/>
    <n v="2.63"/>
    <n v="3.32"/>
    <n v="10"/>
  </r>
  <r>
    <n v="87"/>
    <x v="4"/>
    <x v="84"/>
    <x v="0"/>
    <x v="0"/>
    <n v="4.5452054794520551"/>
    <x v="0"/>
    <n v="10830"/>
    <n v="2.42"/>
    <n v="3.56"/>
    <n v="7"/>
  </r>
  <r>
    <n v="88"/>
    <x v="4"/>
    <x v="85"/>
    <x v="0"/>
    <x v="0"/>
    <n v="1.7808219178082192"/>
    <x v="0"/>
    <n v="14458"/>
    <n v="4.92"/>
    <n v="3.41"/>
    <n v="18"/>
  </r>
  <r>
    <n v="89"/>
    <x v="0"/>
    <x v="86"/>
    <x v="0"/>
    <x v="0"/>
    <n v="2.3013698630136985"/>
    <x v="0"/>
    <n v="8585"/>
    <n v="2.27"/>
    <n v="1.48"/>
    <n v="8"/>
  </r>
  <r>
    <n v="90"/>
    <x v="3"/>
    <x v="87"/>
    <x v="0"/>
    <x v="0"/>
    <n v="6.484931506849315"/>
    <x v="0"/>
    <n v="5593"/>
    <n v="2.96"/>
    <n v="1.37"/>
    <n v="14"/>
  </r>
  <r>
    <n v="91"/>
    <x v="3"/>
    <x v="88"/>
    <x v="0"/>
    <x v="0"/>
    <n v="8.2273972602739729"/>
    <x v="0"/>
    <n v="5878"/>
    <n v="4.5999999999999996"/>
    <n v="1.34"/>
    <n v="2"/>
  </r>
  <r>
    <n v="92"/>
    <x v="3"/>
    <x v="89"/>
    <x v="0"/>
    <x v="0"/>
    <n v="3.9506849315068493"/>
    <x v="0"/>
    <n v="11717"/>
    <n v="3.39"/>
    <n v="3.99"/>
    <n v="13"/>
  </r>
  <r>
    <n v="93"/>
    <x v="5"/>
    <x v="90"/>
    <x v="0"/>
    <x v="0"/>
    <n v="2.3068493150684932"/>
    <x v="0"/>
    <n v="8126"/>
    <n v="4.25"/>
    <n v="1.1200000000000001"/>
    <n v="17"/>
  </r>
  <r>
    <n v="94"/>
    <x v="5"/>
    <x v="91"/>
    <x v="0"/>
    <x v="0"/>
    <n v="4.4328767123287669"/>
    <x v="0"/>
    <n v="4906"/>
    <n v="3.13"/>
    <n v="1.08"/>
    <n v="24"/>
  </r>
  <r>
    <n v="95"/>
    <x v="3"/>
    <x v="92"/>
    <x v="23"/>
    <x v="1"/>
    <n v="1.9178082191780821"/>
    <x v="3"/>
    <n v="10641"/>
    <n v="3.03"/>
    <n v="2.9"/>
    <n v="9"/>
  </r>
  <r>
    <n v="96"/>
    <x v="0"/>
    <x v="93"/>
    <x v="24"/>
    <x v="1"/>
    <n v="1.789041095890411"/>
    <x v="8"/>
    <n v="12361"/>
    <n v="3.76"/>
    <n v="3.98"/>
    <n v="16"/>
  </r>
  <r>
    <n v="97"/>
    <x v="2"/>
    <x v="94"/>
    <x v="0"/>
    <x v="0"/>
    <n v="1.4246575342465753"/>
    <x v="0"/>
    <n v="5472"/>
    <n v="3.82"/>
    <n v="1.98"/>
    <n v="26"/>
  </r>
  <r>
    <n v="98"/>
    <x v="0"/>
    <x v="95"/>
    <x v="25"/>
    <x v="1"/>
    <n v="0.65753424657534243"/>
    <x v="9"/>
    <n v="14640"/>
    <n v="2.46"/>
    <n v="1.98"/>
    <n v="3"/>
  </r>
  <r>
    <n v="99"/>
    <x v="3"/>
    <x v="96"/>
    <x v="26"/>
    <x v="1"/>
    <n v="2.6931506849315068"/>
    <x v="5"/>
    <n v="13589"/>
    <n v="2.2400000000000002"/>
    <n v="3.1"/>
    <n v="7"/>
  </r>
  <r>
    <n v="100"/>
    <x v="3"/>
    <x v="97"/>
    <x v="0"/>
    <x v="0"/>
    <n v="4.8246575342465752"/>
    <x v="0"/>
    <n v="10489"/>
    <n v="2.02"/>
    <n v="4.9000000000000004"/>
    <n v="29"/>
  </r>
  <r>
    <n v="101"/>
    <x v="5"/>
    <x v="98"/>
    <x v="0"/>
    <x v="0"/>
    <n v="5.9808219178082194"/>
    <x v="0"/>
    <n v="8560"/>
    <n v="3.43"/>
    <n v="4.3499999999999996"/>
    <n v="4"/>
  </r>
  <r>
    <n v="102"/>
    <x v="3"/>
    <x v="99"/>
    <x v="0"/>
    <x v="0"/>
    <n v="3.1150684931506851"/>
    <x v="0"/>
    <n v="13002"/>
    <n v="3.59"/>
    <n v="3.83"/>
    <n v="13"/>
  </r>
  <r>
    <n v="103"/>
    <x v="0"/>
    <x v="100"/>
    <x v="0"/>
    <x v="0"/>
    <n v="4.4054794520547942"/>
    <x v="0"/>
    <n v="4917"/>
    <n v="3.6"/>
    <n v="1.21"/>
    <n v="17"/>
  </r>
  <r>
    <n v="104"/>
    <x v="0"/>
    <x v="101"/>
    <x v="0"/>
    <x v="0"/>
    <n v="1.9123287671232876"/>
    <x v="0"/>
    <n v="9038"/>
    <n v="4.05"/>
    <n v="1.35"/>
    <n v="4"/>
  </r>
  <r>
    <n v="105"/>
    <x v="4"/>
    <x v="102"/>
    <x v="0"/>
    <x v="0"/>
    <n v="4.8438356164383558"/>
    <x v="0"/>
    <n v="4994"/>
    <n v="4.38"/>
    <n v="1.43"/>
    <n v="4"/>
  </r>
  <r>
    <n v="106"/>
    <x v="1"/>
    <x v="103"/>
    <x v="27"/>
    <x v="1"/>
    <n v="2.9369863013698629"/>
    <x v="10"/>
    <n v="13161"/>
    <n v="4.82"/>
    <n v="1.72"/>
    <n v="2"/>
  </r>
  <r>
    <n v="107"/>
    <x v="3"/>
    <x v="104"/>
    <x v="28"/>
    <x v="1"/>
    <n v="1.5835616438356164"/>
    <x v="1"/>
    <n v="14835"/>
    <n v="4.3899999999999997"/>
    <n v="1.81"/>
    <n v="29"/>
  </r>
  <r>
    <n v="108"/>
    <x v="0"/>
    <x v="105"/>
    <x v="29"/>
    <x v="1"/>
    <n v="2.9178082191780823"/>
    <x v="3"/>
    <n v="5898"/>
    <n v="3.08"/>
    <n v="4.51"/>
    <n v="24"/>
  </r>
  <r>
    <n v="109"/>
    <x v="3"/>
    <x v="106"/>
    <x v="0"/>
    <x v="0"/>
    <n v="4.9479452054794519"/>
    <x v="0"/>
    <n v="9943"/>
    <n v="4.24"/>
    <n v="3.01"/>
    <n v="24"/>
  </r>
  <r>
    <n v="110"/>
    <x v="2"/>
    <x v="38"/>
    <x v="0"/>
    <x v="0"/>
    <n v="6.2356164383561641"/>
    <x v="0"/>
    <n v="4997"/>
    <n v="3.63"/>
    <n v="2.73"/>
    <n v="2"/>
  </r>
  <r>
    <n v="111"/>
    <x v="2"/>
    <x v="107"/>
    <x v="0"/>
    <x v="0"/>
    <n v="2.3424657534246576"/>
    <x v="0"/>
    <n v="8567"/>
    <n v="3.49"/>
    <n v="3.97"/>
    <n v="26"/>
  </r>
  <r>
    <n v="112"/>
    <x v="3"/>
    <x v="108"/>
    <x v="30"/>
    <x v="1"/>
    <n v="0.9616438356164384"/>
    <x v="11"/>
    <n v="4120"/>
    <n v="2.4300000000000002"/>
    <n v="1.82"/>
    <n v="1"/>
  </r>
  <r>
    <n v="113"/>
    <x v="5"/>
    <x v="109"/>
    <x v="31"/>
    <x v="1"/>
    <n v="0.62739726027397258"/>
    <x v="10"/>
    <n v="4865"/>
    <n v="2.33"/>
    <n v="4.3899999999999997"/>
    <n v="23"/>
  </r>
  <r>
    <n v="114"/>
    <x v="0"/>
    <x v="110"/>
    <x v="0"/>
    <x v="0"/>
    <n v="6.9698630136986299"/>
    <x v="0"/>
    <n v="6719"/>
    <n v="4.17"/>
    <n v="3.88"/>
    <n v="18"/>
  </r>
  <r>
    <n v="115"/>
    <x v="1"/>
    <x v="111"/>
    <x v="0"/>
    <x v="0"/>
    <n v="4.7671232876712333"/>
    <x v="0"/>
    <n v="3793"/>
    <n v="2.54"/>
    <n v="4.63"/>
    <n v="5"/>
  </r>
  <r>
    <n v="116"/>
    <x v="2"/>
    <x v="112"/>
    <x v="0"/>
    <x v="0"/>
    <n v="7.5397260273972604"/>
    <x v="0"/>
    <n v="13541"/>
    <n v="2.42"/>
    <n v="1.4"/>
    <n v="0"/>
  </r>
  <r>
    <n v="117"/>
    <x v="1"/>
    <x v="113"/>
    <x v="0"/>
    <x v="0"/>
    <n v="3.0876712328767124"/>
    <x v="0"/>
    <n v="13922"/>
    <n v="4.09"/>
    <n v="4.6900000000000004"/>
    <n v="7"/>
  </r>
  <r>
    <n v="118"/>
    <x v="4"/>
    <x v="114"/>
    <x v="0"/>
    <x v="0"/>
    <n v="5.5534246575342463"/>
    <x v="0"/>
    <n v="11795"/>
    <n v="2.23"/>
    <n v="1.42"/>
    <n v="8"/>
  </r>
  <r>
    <n v="119"/>
    <x v="4"/>
    <x v="115"/>
    <x v="32"/>
    <x v="1"/>
    <n v="0.22191780821917809"/>
    <x v="3"/>
    <n v="14053"/>
    <n v="2.56"/>
    <n v="4.3499999999999996"/>
    <n v="0"/>
  </r>
  <r>
    <n v="120"/>
    <x v="5"/>
    <x v="116"/>
    <x v="33"/>
    <x v="1"/>
    <n v="3.9287671232876713"/>
    <x v="8"/>
    <n v="8031"/>
    <n v="4.2300000000000004"/>
    <n v="1.82"/>
    <n v="24"/>
  </r>
  <r>
    <n v="121"/>
    <x v="4"/>
    <x v="117"/>
    <x v="0"/>
    <x v="0"/>
    <n v="4.0794520547945208"/>
    <x v="0"/>
    <n v="10970"/>
    <n v="4.76"/>
    <n v="2.39"/>
    <n v="17"/>
  </r>
  <r>
    <n v="122"/>
    <x v="5"/>
    <x v="118"/>
    <x v="0"/>
    <x v="0"/>
    <n v="5.1095890410958908"/>
    <x v="0"/>
    <n v="6600"/>
    <n v="4.74"/>
    <n v="1.99"/>
    <n v="24"/>
  </r>
  <r>
    <n v="123"/>
    <x v="3"/>
    <x v="119"/>
    <x v="0"/>
    <x v="0"/>
    <n v="4.838356164383562"/>
    <x v="0"/>
    <n v="6572"/>
    <n v="3.74"/>
    <n v="3.53"/>
    <n v="27"/>
  </r>
  <r>
    <n v="124"/>
    <x v="4"/>
    <x v="116"/>
    <x v="0"/>
    <x v="0"/>
    <n v="3.4383561643835616"/>
    <x v="0"/>
    <n v="3966"/>
    <n v="3.67"/>
    <n v="4.4400000000000004"/>
    <n v="28"/>
  </r>
  <r>
    <n v="125"/>
    <x v="4"/>
    <x v="120"/>
    <x v="0"/>
    <x v="0"/>
    <n v="6.506849315068493"/>
    <x v="0"/>
    <n v="4759"/>
    <n v="2.63"/>
    <n v="4.59"/>
    <n v="29"/>
  </r>
  <r>
    <n v="126"/>
    <x v="0"/>
    <x v="121"/>
    <x v="0"/>
    <x v="0"/>
    <n v="1.3068493150684932"/>
    <x v="0"/>
    <n v="12692"/>
    <n v="2.2000000000000002"/>
    <n v="4.0999999999999996"/>
    <n v="14"/>
  </r>
  <r>
    <n v="127"/>
    <x v="3"/>
    <x v="122"/>
    <x v="0"/>
    <x v="0"/>
    <n v="3.7315068493150685"/>
    <x v="0"/>
    <n v="8083"/>
    <n v="4.3"/>
    <n v="1.41"/>
    <n v="7"/>
  </r>
  <r>
    <n v="128"/>
    <x v="5"/>
    <x v="123"/>
    <x v="34"/>
    <x v="1"/>
    <n v="1.6191780821917807"/>
    <x v="8"/>
    <n v="7873"/>
    <n v="3.23"/>
    <n v="1.1000000000000001"/>
    <n v="27"/>
  </r>
  <r>
    <n v="129"/>
    <x v="0"/>
    <x v="32"/>
    <x v="35"/>
    <x v="1"/>
    <n v="2.117808219178082"/>
    <x v="8"/>
    <n v="8960"/>
    <n v="2.69"/>
    <n v="3.69"/>
    <n v="28"/>
  </r>
  <r>
    <n v="130"/>
    <x v="4"/>
    <x v="124"/>
    <x v="0"/>
    <x v="0"/>
    <n v="4.2602739726027394"/>
    <x v="0"/>
    <n v="6310"/>
    <n v="3.67"/>
    <n v="3.88"/>
    <n v="2"/>
  </r>
  <r>
    <n v="131"/>
    <x v="3"/>
    <x v="125"/>
    <x v="0"/>
    <x v="0"/>
    <n v="5.1671232876712327"/>
    <x v="0"/>
    <n v="12503"/>
    <n v="3.19"/>
    <n v="3.67"/>
    <n v="20"/>
  </r>
  <r>
    <n v="132"/>
    <x v="2"/>
    <x v="126"/>
    <x v="0"/>
    <x v="0"/>
    <n v="3.9589041095890409"/>
    <x v="0"/>
    <n v="9150"/>
    <n v="4.54"/>
    <n v="1.49"/>
    <n v="18"/>
  </r>
  <r>
    <n v="133"/>
    <x v="1"/>
    <x v="127"/>
    <x v="0"/>
    <x v="0"/>
    <n v="5.6328767123287671"/>
    <x v="0"/>
    <n v="7177"/>
    <n v="3.03"/>
    <n v="2.04"/>
    <n v="1"/>
  </r>
  <r>
    <n v="134"/>
    <x v="1"/>
    <x v="128"/>
    <x v="0"/>
    <x v="0"/>
    <n v="5.8356164383561646"/>
    <x v="0"/>
    <n v="4555"/>
    <n v="3.66"/>
    <n v="2.74"/>
    <n v="11"/>
  </r>
  <r>
    <n v="135"/>
    <x v="2"/>
    <x v="129"/>
    <x v="0"/>
    <x v="0"/>
    <n v="7.0767123287671234"/>
    <x v="0"/>
    <n v="14093"/>
    <n v="3.7"/>
    <n v="4.9400000000000004"/>
    <n v="22"/>
  </r>
  <r>
    <n v="136"/>
    <x v="4"/>
    <x v="130"/>
    <x v="36"/>
    <x v="1"/>
    <n v="0.10136986301369863"/>
    <x v="10"/>
    <n v="6186"/>
    <n v="4.0999999999999996"/>
    <n v="2.61"/>
    <n v="8"/>
  </r>
  <r>
    <n v="137"/>
    <x v="5"/>
    <x v="131"/>
    <x v="0"/>
    <x v="0"/>
    <n v="5.4164383561643836"/>
    <x v="0"/>
    <n v="5541"/>
    <n v="2.52"/>
    <n v="2.09"/>
    <n v="10"/>
  </r>
  <r>
    <n v="138"/>
    <x v="0"/>
    <x v="132"/>
    <x v="37"/>
    <x v="1"/>
    <n v="1.1287671232876713"/>
    <x v="2"/>
    <n v="13281"/>
    <n v="3.66"/>
    <n v="3.61"/>
    <n v="25"/>
  </r>
  <r>
    <n v="139"/>
    <x v="0"/>
    <x v="133"/>
    <x v="0"/>
    <x v="0"/>
    <n v="1.8547945205479452"/>
    <x v="0"/>
    <n v="11041"/>
    <n v="2.8"/>
    <n v="3.93"/>
    <n v="1"/>
  </r>
  <r>
    <n v="140"/>
    <x v="4"/>
    <x v="134"/>
    <x v="0"/>
    <x v="0"/>
    <n v="5.7890410958904113"/>
    <x v="0"/>
    <n v="11646"/>
    <n v="3.21"/>
    <n v="4.08"/>
    <n v="13"/>
  </r>
  <r>
    <n v="141"/>
    <x v="1"/>
    <x v="135"/>
    <x v="0"/>
    <x v="0"/>
    <n v="2.871232876712329"/>
    <x v="0"/>
    <n v="8941"/>
    <n v="3.81"/>
    <n v="1.98"/>
    <n v="20"/>
  </r>
  <r>
    <n v="142"/>
    <x v="5"/>
    <x v="136"/>
    <x v="38"/>
    <x v="1"/>
    <n v="3.8739726027397259"/>
    <x v="2"/>
    <n v="10679"/>
    <n v="3.83"/>
    <n v="4.8"/>
    <n v="22"/>
  </r>
  <r>
    <n v="143"/>
    <x v="3"/>
    <x v="137"/>
    <x v="0"/>
    <x v="0"/>
    <n v="1.4"/>
    <x v="0"/>
    <n v="9212"/>
    <n v="3.62"/>
    <n v="1.65"/>
    <n v="19"/>
  </r>
  <r>
    <n v="144"/>
    <x v="3"/>
    <x v="21"/>
    <x v="0"/>
    <x v="0"/>
    <n v="8"/>
    <x v="0"/>
    <n v="10674"/>
    <n v="4.3099999999999996"/>
    <n v="1.43"/>
    <n v="8"/>
  </r>
  <r>
    <n v="145"/>
    <x v="4"/>
    <x v="138"/>
    <x v="0"/>
    <x v="0"/>
    <n v="1.821917808219178"/>
    <x v="0"/>
    <n v="4240"/>
    <n v="3.38"/>
    <n v="1.3"/>
    <n v="17"/>
  </r>
  <r>
    <n v="146"/>
    <x v="1"/>
    <x v="139"/>
    <x v="39"/>
    <x v="1"/>
    <n v="1.2602739726027397"/>
    <x v="5"/>
    <n v="12650"/>
    <n v="3.08"/>
    <n v="1.37"/>
    <n v="26"/>
  </r>
  <r>
    <n v="147"/>
    <x v="4"/>
    <x v="140"/>
    <x v="40"/>
    <x v="1"/>
    <n v="2.3068493150684932"/>
    <x v="10"/>
    <n v="3329"/>
    <n v="2.2599999999999998"/>
    <n v="4.83"/>
    <n v="18"/>
  </r>
  <r>
    <n v="148"/>
    <x v="0"/>
    <x v="141"/>
    <x v="0"/>
    <x v="0"/>
    <n v="3.0986301369863014"/>
    <x v="0"/>
    <n v="14344"/>
    <n v="4.55"/>
    <n v="2"/>
    <n v="24"/>
  </r>
  <r>
    <n v="149"/>
    <x v="5"/>
    <x v="142"/>
    <x v="0"/>
    <x v="0"/>
    <n v="2.106849315068493"/>
    <x v="0"/>
    <n v="6993"/>
    <n v="2.13"/>
    <n v="3.35"/>
    <n v="16"/>
  </r>
  <r>
    <n v="150"/>
    <x v="0"/>
    <x v="143"/>
    <x v="0"/>
    <x v="0"/>
    <n v="4.0986301369863014"/>
    <x v="0"/>
    <n v="6157"/>
    <n v="4.09"/>
    <n v="2.19"/>
    <n v="15"/>
  </r>
  <r>
    <n v="151"/>
    <x v="5"/>
    <x v="144"/>
    <x v="0"/>
    <x v="0"/>
    <n v="3.5835616438356164"/>
    <x v="0"/>
    <n v="4500"/>
    <n v="4.53"/>
    <n v="2.2799999999999998"/>
    <n v="9"/>
  </r>
  <r>
    <n v="152"/>
    <x v="3"/>
    <x v="145"/>
    <x v="0"/>
    <x v="0"/>
    <n v="6.8958904109589039"/>
    <x v="0"/>
    <n v="12374"/>
    <n v="3.44"/>
    <n v="4.54"/>
    <n v="10"/>
  </r>
  <r>
    <n v="153"/>
    <x v="1"/>
    <x v="146"/>
    <x v="0"/>
    <x v="0"/>
    <n v="4.5671232876712331"/>
    <x v="0"/>
    <n v="11230"/>
    <n v="4.37"/>
    <n v="2.2799999999999998"/>
    <n v="17"/>
  </r>
  <r>
    <n v="154"/>
    <x v="0"/>
    <x v="147"/>
    <x v="0"/>
    <x v="0"/>
    <n v="3.117808219178082"/>
    <x v="0"/>
    <n v="12323"/>
    <n v="4.6100000000000003"/>
    <n v="1.0900000000000001"/>
    <n v="22"/>
  </r>
  <r>
    <n v="155"/>
    <x v="2"/>
    <x v="148"/>
    <x v="0"/>
    <x v="0"/>
    <n v="4.3780821917808215"/>
    <x v="0"/>
    <n v="6810"/>
    <n v="2.16"/>
    <n v="1.35"/>
    <n v="29"/>
  </r>
  <r>
    <n v="156"/>
    <x v="4"/>
    <x v="149"/>
    <x v="0"/>
    <x v="0"/>
    <n v="5.0410958904109586"/>
    <x v="0"/>
    <n v="3271"/>
    <n v="4.3"/>
    <n v="2.67"/>
    <n v="6"/>
  </r>
  <r>
    <n v="157"/>
    <x v="4"/>
    <x v="150"/>
    <x v="0"/>
    <x v="0"/>
    <n v="7.6164383561643838"/>
    <x v="0"/>
    <n v="6760"/>
    <n v="2.86"/>
    <n v="2.19"/>
    <n v="29"/>
  </r>
  <r>
    <n v="158"/>
    <x v="4"/>
    <x v="151"/>
    <x v="0"/>
    <x v="0"/>
    <n v="7.2630136986301368"/>
    <x v="0"/>
    <n v="8960"/>
    <n v="3.17"/>
    <n v="1.5"/>
    <n v="26"/>
  </r>
  <r>
    <n v="159"/>
    <x v="0"/>
    <x v="152"/>
    <x v="41"/>
    <x v="1"/>
    <n v="2.7917808219178082"/>
    <x v="11"/>
    <n v="12130"/>
    <n v="4.6500000000000004"/>
    <n v="3.4"/>
    <n v="29"/>
  </r>
  <r>
    <n v="160"/>
    <x v="4"/>
    <x v="153"/>
    <x v="0"/>
    <x v="0"/>
    <n v="3.7068493150684931"/>
    <x v="0"/>
    <n v="10878"/>
    <n v="4.83"/>
    <n v="3.6"/>
    <n v="20"/>
  </r>
  <r>
    <n v="161"/>
    <x v="3"/>
    <x v="154"/>
    <x v="42"/>
    <x v="1"/>
    <n v="3.2"/>
    <x v="8"/>
    <n v="8960"/>
    <n v="2.11"/>
    <n v="4.83"/>
    <n v="23"/>
  </r>
  <r>
    <n v="162"/>
    <x v="0"/>
    <x v="155"/>
    <x v="0"/>
    <x v="0"/>
    <n v="2.2027397260273971"/>
    <x v="0"/>
    <n v="11245"/>
    <n v="4.78"/>
    <n v="4.9800000000000004"/>
    <n v="28"/>
  </r>
  <r>
    <n v="163"/>
    <x v="5"/>
    <x v="156"/>
    <x v="0"/>
    <x v="0"/>
    <n v="3.1863013698630138"/>
    <x v="0"/>
    <n v="13929"/>
    <n v="4.6900000000000004"/>
    <n v="2.85"/>
    <n v="12"/>
  </r>
  <r>
    <n v="164"/>
    <x v="4"/>
    <x v="157"/>
    <x v="0"/>
    <x v="0"/>
    <n v="5.1205479452054794"/>
    <x v="0"/>
    <n v="13568"/>
    <n v="3.37"/>
    <n v="2.56"/>
    <n v="26"/>
  </r>
  <r>
    <n v="165"/>
    <x v="4"/>
    <x v="158"/>
    <x v="0"/>
    <x v="0"/>
    <n v="3.1616438356164385"/>
    <x v="0"/>
    <n v="4218"/>
    <n v="4.43"/>
    <n v="3.62"/>
    <n v="4"/>
  </r>
  <r>
    <n v="166"/>
    <x v="2"/>
    <x v="159"/>
    <x v="0"/>
    <x v="0"/>
    <n v="6.4986301369863018"/>
    <x v="0"/>
    <n v="12175"/>
    <n v="4.09"/>
    <n v="1.2"/>
    <n v="17"/>
  </r>
  <r>
    <n v="167"/>
    <x v="1"/>
    <x v="160"/>
    <x v="0"/>
    <x v="0"/>
    <n v="3.5342465753424657"/>
    <x v="0"/>
    <n v="12903"/>
    <n v="4.55"/>
    <n v="2.98"/>
    <n v="29"/>
  </r>
  <r>
    <n v="168"/>
    <x v="2"/>
    <x v="161"/>
    <x v="0"/>
    <x v="0"/>
    <n v="5.7369863013698632"/>
    <x v="0"/>
    <n v="4591"/>
    <n v="4.59"/>
    <n v="3.94"/>
    <n v="23"/>
  </r>
  <r>
    <n v="169"/>
    <x v="1"/>
    <x v="162"/>
    <x v="43"/>
    <x v="1"/>
    <n v="3.1753424657534248"/>
    <x v="8"/>
    <n v="4704"/>
    <n v="4.79"/>
    <n v="1.42"/>
    <n v="26"/>
  </r>
  <r>
    <n v="170"/>
    <x v="0"/>
    <x v="163"/>
    <x v="44"/>
    <x v="1"/>
    <n v="4.0273972602739727"/>
    <x v="5"/>
    <n v="3556"/>
    <n v="4.4800000000000004"/>
    <n v="1.52"/>
    <n v="10"/>
  </r>
  <r>
    <n v="171"/>
    <x v="2"/>
    <x v="164"/>
    <x v="0"/>
    <x v="0"/>
    <n v="3.2904109589041095"/>
    <x v="0"/>
    <n v="5403"/>
    <n v="2.78"/>
    <n v="1.77"/>
    <n v="12"/>
  </r>
  <r>
    <n v="172"/>
    <x v="4"/>
    <x v="165"/>
    <x v="0"/>
    <x v="0"/>
    <n v="8.2109589041095887"/>
    <x v="0"/>
    <n v="5064"/>
    <n v="2.0299999999999998"/>
    <n v="4.2699999999999996"/>
    <n v="15"/>
  </r>
  <r>
    <n v="173"/>
    <x v="3"/>
    <x v="74"/>
    <x v="0"/>
    <x v="0"/>
    <n v="4.2465753424657535"/>
    <x v="0"/>
    <n v="14718"/>
    <n v="3.03"/>
    <n v="3.53"/>
    <n v="29"/>
  </r>
  <r>
    <n v="174"/>
    <x v="3"/>
    <x v="166"/>
    <x v="45"/>
    <x v="1"/>
    <n v="0.59452054794520548"/>
    <x v="6"/>
    <n v="10059"/>
    <n v="2.9"/>
    <n v="3.83"/>
    <n v="21"/>
  </r>
  <r>
    <n v="175"/>
    <x v="3"/>
    <x v="167"/>
    <x v="0"/>
    <x v="0"/>
    <n v="8.1808219178082187"/>
    <x v="0"/>
    <n v="5752"/>
    <n v="4.5599999999999996"/>
    <n v="4.96"/>
    <n v="14"/>
  </r>
  <r>
    <n v="176"/>
    <x v="1"/>
    <x v="168"/>
    <x v="46"/>
    <x v="1"/>
    <n v="4.0136986301369859"/>
    <x v="4"/>
    <n v="11954"/>
    <n v="2.0699999999999998"/>
    <n v="1.0900000000000001"/>
    <n v="5"/>
  </r>
  <r>
    <n v="177"/>
    <x v="5"/>
    <x v="169"/>
    <x v="0"/>
    <x v="0"/>
    <n v="6.279452054794521"/>
    <x v="0"/>
    <n v="13698"/>
    <n v="2.82"/>
    <n v="4.99"/>
    <n v="16"/>
  </r>
  <r>
    <n v="178"/>
    <x v="4"/>
    <x v="170"/>
    <x v="0"/>
    <x v="0"/>
    <n v="1.6054794520547946"/>
    <x v="0"/>
    <n v="3038"/>
    <n v="2.9"/>
    <n v="4.3600000000000003"/>
    <n v="14"/>
  </r>
  <r>
    <n v="179"/>
    <x v="3"/>
    <x v="171"/>
    <x v="0"/>
    <x v="0"/>
    <n v="3.6849315068493151"/>
    <x v="0"/>
    <n v="14722"/>
    <n v="2.4500000000000002"/>
    <n v="2.73"/>
    <n v="20"/>
  </r>
  <r>
    <n v="180"/>
    <x v="0"/>
    <x v="172"/>
    <x v="47"/>
    <x v="1"/>
    <n v="0.15068493150684931"/>
    <x v="9"/>
    <n v="7179"/>
    <n v="4.95"/>
    <n v="2.64"/>
    <n v="27"/>
  </r>
  <r>
    <n v="181"/>
    <x v="2"/>
    <x v="173"/>
    <x v="0"/>
    <x v="0"/>
    <n v="4.3369863013698629"/>
    <x v="0"/>
    <n v="4980"/>
    <n v="4.1399999999999997"/>
    <n v="3.25"/>
    <n v="11"/>
  </r>
  <r>
    <n v="182"/>
    <x v="1"/>
    <x v="174"/>
    <x v="0"/>
    <x v="0"/>
    <n v="1.8876712328767122"/>
    <x v="0"/>
    <n v="9573"/>
    <n v="2.46"/>
    <n v="2.81"/>
    <n v="17"/>
  </r>
  <r>
    <n v="183"/>
    <x v="5"/>
    <x v="175"/>
    <x v="48"/>
    <x v="1"/>
    <n v="3.1917808219178081"/>
    <x v="1"/>
    <n v="3959"/>
    <n v="4.9000000000000004"/>
    <n v="1.74"/>
    <n v="14"/>
  </r>
  <r>
    <n v="184"/>
    <x v="3"/>
    <x v="176"/>
    <x v="0"/>
    <x v="0"/>
    <n v="4.0821917808219181"/>
    <x v="0"/>
    <n v="14536"/>
    <n v="3.68"/>
    <n v="1.9"/>
    <n v="27"/>
  </r>
  <r>
    <n v="185"/>
    <x v="3"/>
    <x v="177"/>
    <x v="0"/>
    <x v="0"/>
    <n v="4.7095890410958905"/>
    <x v="0"/>
    <n v="9644"/>
    <n v="2.93"/>
    <n v="2.82"/>
    <n v="7"/>
  </r>
  <r>
    <n v="186"/>
    <x v="3"/>
    <x v="178"/>
    <x v="0"/>
    <x v="0"/>
    <n v="7.6"/>
    <x v="0"/>
    <n v="4389"/>
    <n v="3.97"/>
    <n v="4.03"/>
    <n v="27"/>
  </r>
  <r>
    <n v="187"/>
    <x v="5"/>
    <x v="179"/>
    <x v="49"/>
    <x v="1"/>
    <n v="1.0821917808219179"/>
    <x v="1"/>
    <n v="3213"/>
    <n v="2.31"/>
    <n v="3.28"/>
    <n v="14"/>
  </r>
  <r>
    <n v="188"/>
    <x v="3"/>
    <x v="180"/>
    <x v="0"/>
    <x v="0"/>
    <n v="7.0273972602739727"/>
    <x v="0"/>
    <n v="5720"/>
    <n v="2.98"/>
    <n v="3.07"/>
    <n v="0"/>
  </r>
  <r>
    <n v="189"/>
    <x v="3"/>
    <x v="181"/>
    <x v="14"/>
    <x v="1"/>
    <n v="3.1452054794520548"/>
    <x v="3"/>
    <n v="9732"/>
    <n v="2.4"/>
    <n v="3.27"/>
    <n v="13"/>
  </r>
  <r>
    <n v="190"/>
    <x v="2"/>
    <x v="182"/>
    <x v="0"/>
    <x v="0"/>
    <n v="6.7589041095890412"/>
    <x v="0"/>
    <n v="3105"/>
    <n v="3.91"/>
    <n v="3.83"/>
    <n v="5"/>
  </r>
  <r>
    <n v="191"/>
    <x v="4"/>
    <x v="183"/>
    <x v="0"/>
    <x v="0"/>
    <n v="6.6657534246575345"/>
    <x v="0"/>
    <n v="13462"/>
    <n v="4.6100000000000003"/>
    <n v="3.86"/>
    <n v="29"/>
  </r>
  <r>
    <n v="192"/>
    <x v="5"/>
    <x v="184"/>
    <x v="50"/>
    <x v="1"/>
    <n v="3.2657534246575342"/>
    <x v="1"/>
    <n v="5430"/>
    <n v="3.64"/>
    <n v="4.2699999999999996"/>
    <n v="25"/>
  </r>
  <r>
    <n v="193"/>
    <x v="4"/>
    <x v="185"/>
    <x v="0"/>
    <x v="0"/>
    <n v="3.4547945205479453"/>
    <x v="0"/>
    <n v="10867"/>
    <n v="2.1800000000000002"/>
    <n v="1.99"/>
    <n v="12"/>
  </r>
  <r>
    <n v="194"/>
    <x v="5"/>
    <x v="186"/>
    <x v="0"/>
    <x v="0"/>
    <n v="1.5972602739726027"/>
    <x v="0"/>
    <n v="13361"/>
    <n v="4.2300000000000004"/>
    <n v="4.49"/>
    <n v="20"/>
  </r>
  <r>
    <n v="195"/>
    <x v="5"/>
    <x v="187"/>
    <x v="0"/>
    <x v="0"/>
    <n v="7.6520547945205477"/>
    <x v="0"/>
    <n v="10979"/>
    <n v="2.69"/>
    <n v="4.99"/>
    <n v="8"/>
  </r>
  <r>
    <n v="196"/>
    <x v="1"/>
    <x v="188"/>
    <x v="0"/>
    <x v="0"/>
    <n v="6.6821917808219178"/>
    <x v="0"/>
    <n v="11946"/>
    <n v="2.09"/>
    <n v="2.0299999999999998"/>
    <n v="11"/>
  </r>
  <r>
    <n v="197"/>
    <x v="0"/>
    <x v="189"/>
    <x v="0"/>
    <x v="0"/>
    <n v="6.441095890410959"/>
    <x v="0"/>
    <n v="3158"/>
    <n v="3.89"/>
    <n v="3.94"/>
    <n v="29"/>
  </r>
  <r>
    <n v="198"/>
    <x v="2"/>
    <x v="190"/>
    <x v="51"/>
    <x v="1"/>
    <n v="0.75342465753424659"/>
    <x v="3"/>
    <n v="4712"/>
    <n v="2.09"/>
    <n v="2.58"/>
    <n v="3"/>
  </r>
  <r>
    <n v="199"/>
    <x v="2"/>
    <x v="191"/>
    <x v="52"/>
    <x v="1"/>
    <n v="0.53424657534246578"/>
    <x v="11"/>
    <n v="14171"/>
    <n v="3.78"/>
    <n v="4.6500000000000004"/>
    <n v="11"/>
  </r>
  <r>
    <n v="200"/>
    <x v="2"/>
    <x v="192"/>
    <x v="0"/>
    <x v="0"/>
    <n v="6.2520547945205482"/>
    <x v="0"/>
    <n v="14815"/>
    <n v="4.33"/>
    <n v="2.62"/>
    <n v="29"/>
  </r>
  <r>
    <n v="201"/>
    <x v="1"/>
    <x v="193"/>
    <x v="0"/>
    <x v="0"/>
    <n v="4.5945205479452058"/>
    <x v="0"/>
    <n v="3525"/>
    <n v="4.5599999999999996"/>
    <n v="2.97"/>
    <n v="29"/>
  </r>
  <r>
    <n v="202"/>
    <x v="0"/>
    <x v="194"/>
    <x v="0"/>
    <x v="0"/>
    <n v="1.441095890410959"/>
    <x v="0"/>
    <n v="4646"/>
    <n v="3.99"/>
    <n v="1.38"/>
    <n v="16"/>
  </r>
  <r>
    <n v="203"/>
    <x v="4"/>
    <x v="195"/>
    <x v="0"/>
    <x v="0"/>
    <n v="6.6630136986301371"/>
    <x v="0"/>
    <n v="11219"/>
    <n v="2.98"/>
    <n v="4.09"/>
    <n v="23"/>
  </r>
  <r>
    <n v="204"/>
    <x v="5"/>
    <x v="196"/>
    <x v="0"/>
    <x v="0"/>
    <n v="7.4767123287671229"/>
    <x v="0"/>
    <n v="6081"/>
    <n v="3.56"/>
    <n v="2.35"/>
    <n v="29"/>
  </r>
  <r>
    <n v="205"/>
    <x v="0"/>
    <x v="197"/>
    <x v="0"/>
    <x v="0"/>
    <n v="7.9808219178082194"/>
    <x v="0"/>
    <n v="8895"/>
    <n v="2.5"/>
    <n v="1.67"/>
    <n v="24"/>
  </r>
  <r>
    <n v="206"/>
    <x v="0"/>
    <x v="198"/>
    <x v="0"/>
    <x v="0"/>
    <n v="1.726027397260274"/>
    <x v="0"/>
    <n v="13404"/>
    <n v="3.34"/>
    <n v="4.46"/>
    <n v="5"/>
  </r>
  <r>
    <n v="207"/>
    <x v="0"/>
    <x v="199"/>
    <x v="0"/>
    <x v="0"/>
    <n v="2.989041095890411"/>
    <x v="0"/>
    <n v="4939"/>
    <n v="3.59"/>
    <n v="4.75"/>
    <n v="28"/>
  </r>
  <r>
    <n v="208"/>
    <x v="5"/>
    <x v="200"/>
    <x v="0"/>
    <x v="0"/>
    <n v="6.1205479452054794"/>
    <x v="0"/>
    <n v="7293"/>
    <n v="2.31"/>
    <n v="3.34"/>
    <n v="11"/>
  </r>
  <r>
    <n v="209"/>
    <x v="0"/>
    <x v="201"/>
    <x v="0"/>
    <x v="0"/>
    <n v="5.8"/>
    <x v="0"/>
    <n v="5289"/>
    <n v="4.8600000000000003"/>
    <n v="3.56"/>
    <n v="24"/>
  </r>
  <r>
    <n v="210"/>
    <x v="5"/>
    <x v="202"/>
    <x v="0"/>
    <x v="0"/>
    <n v="4.6164383561643838"/>
    <x v="0"/>
    <n v="6249"/>
    <n v="2.38"/>
    <n v="1.53"/>
    <n v="19"/>
  </r>
  <r>
    <n v="211"/>
    <x v="2"/>
    <x v="203"/>
    <x v="0"/>
    <x v="0"/>
    <n v="2.495890410958904"/>
    <x v="0"/>
    <n v="3891"/>
    <n v="2.2799999999999998"/>
    <n v="3.69"/>
    <n v="5"/>
  </r>
  <r>
    <n v="212"/>
    <x v="3"/>
    <x v="204"/>
    <x v="53"/>
    <x v="1"/>
    <n v="1.7945205479452055"/>
    <x v="10"/>
    <n v="4198"/>
    <n v="4.83"/>
    <n v="3.73"/>
    <n v="17"/>
  </r>
  <r>
    <n v="213"/>
    <x v="2"/>
    <x v="205"/>
    <x v="0"/>
    <x v="0"/>
    <n v="3.452054794520548"/>
    <x v="0"/>
    <n v="6719"/>
    <n v="2.34"/>
    <n v="4.18"/>
    <n v="3"/>
  </r>
  <r>
    <n v="214"/>
    <x v="5"/>
    <x v="206"/>
    <x v="0"/>
    <x v="0"/>
    <n v="6.419178082191781"/>
    <x v="0"/>
    <n v="6124"/>
    <n v="3.05"/>
    <n v="1.64"/>
    <n v="5"/>
  </r>
  <r>
    <n v="215"/>
    <x v="4"/>
    <x v="207"/>
    <x v="0"/>
    <x v="0"/>
    <n v="3.3178082191780822"/>
    <x v="0"/>
    <n v="10848"/>
    <n v="2.27"/>
    <n v="2.15"/>
    <n v="10"/>
  </r>
  <r>
    <n v="216"/>
    <x v="0"/>
    <x v="208"/>
    <x v="54"/>
    <x v="1"/>
    <n v="1.8"/>
    <x v="5"/>
    <n v="6173"/>
    <n v="4.42"/>
    <n v="4.05"/>
    <n v="8"/>
  </r>
  <r>
    <n v="217"/>
    <x v="0"/>
    <x v="209"/>
    <x v="0"/>
    <x v="0"/>
    <n v="1.5013698630136987"/>
    <x v="0"/>
    <n v="8450"/>
    <n v="3.95"/>
    <n v="2.31"/>
    <n v="0"/>
  </r>
  <r>
    <n v="218"/>
    <x v="0"/>
    <x v="210"/>
    <x v="0"/>
    <x v="0"/>
    <n v="5.0054794520547947"/>
    <x v="0"/>
    <n v="5875"/>
    <n v="3.64"/>
    <n v="2.78"/>
    <n v="5"/>
  </r>
  <r>
    <n v="219"/>
    <x v="5"/>
    <x v="177"/>
    <x v="0"/>
    <x v="0"/>
    <n v="4.7095890410958905"/>
    <x v="0"/>
    <n v="14207"/>
    <n v="3.39"/>
    <n v="2.52"/>
    <n v="25"/>
  </r>
  <r>
    <n v="220"/>
    <x v="2"/>
    <x v="211"/>
    <x v="55"/>
    <x v="1"/>
    <n v="3.0739726027397261"/>
    <x v="8"/>
    <n v="13693"/>
    <n v="2.33"/>
    <n v="1.6"/>
    <n v="15"/>
  </r>
  <r>
    <n v="221"/>
    <x v="1"/>
    <x v="212"/>
    <x v="0"/>
    <x v="0"/>
    <n v="3.8273972602739725"/>
    <x v="0"/>
    <n v="14022"/>
    <n v="4.24"/>
    <n v="3.86"/>
    <n v="10"/>
  </r>
  <r>
    <n v="222"/>
    <x v="5"/>
    <x v="213"/>
    <x v="0"/>
    <x v="0"/>
    <n v="5.912328767123288"/>
    <x v="0"/>
    <n v="12206"/>
    <n v="4.8600000000000003"/>
    <n v="3.62"/>
    <n v="18"/>
  </r>
  <r>
    <n v="223"/>
    <x v="0"/>
    <x v="214"/>
    <x v="0"/>
    <x v="0"/>
    <n v="7.2876712328767121"/>
    <x v="0"/>
    <n v="3140"/>
    <n v="3.46"/>
    <n v="2.0299999999999998"/>
    <n v="19"/>
  </r>
  <r>
    <n v="224"/>
    <x v="0"/>
    <x v="215"/>
    <x v="0"/>
    <x v="0"/>
    <n v="4.9095890410958907"/>
    <x v="0"/>
    <n v="9894"/>
    <n v="2.27"/>
    <n v="3.87"/>
    <n v="1"/>
  </r>
  <r>
    <n v="225"/>
    <x v="1"/>
    <x v="216"/>
    <x v="0"/>
    <x v="0"/>
    <n v="6.2712328767123289"/>
    <x v="0"/>
    <n v="5137"/>
    <n v="4.04"/>
    <n v="1.73"/>
    <n v="12"/>
  </r>
  <r>
    <n v="226"/>
    <x v="4"/>
    <x v="217"/>
    <x v="0"/>
    <x v="0"/>
    <n v="2.1260273972602741"/>
    <x v="0"/>
    <n v="11105"/>
    <n v="3.27"/>
    <n v="1.35"/>
    <n v="21"/>
  </r>
  <r>
    <n v="227"/>
    <x v="0"/>
    <x v="218"/>
    <x v="0"/>
    <x v="0"/>
    <n v="6.4712328767123291"/>
    <x v="0"/>
    <n v="8960"/>
    <n v="3.55"/>
    <n v="3.37"/>
    <n v="25"/>
  </r>
  <r>
    <n v="228"/>
    <x v="2"/>
    <x v="219"/>
    <x v="0"/>
    <x v="0"/>
    <n v="2.2246575342465755"/>
    <x v="0"/>
    <n v="13617"/>
    <n v="4.3099999999999996"/>
    <n v="3.23"/>
    <n v="26"/>
  </r>
  <r>
    <n v="229"/>
    <x v="2"/>
    <x v="220"/>
    <x v="56"/>
    <x v="1"/>
    <n v="0.80821917808219179"/>
    <x v="6"/>
    <n v="9807"/>
    <n v="4"/>
    <n v="1.38"/>
    <n v="3"/>
  </r>
  <r>
    <n v="230"/>
    <x v="2"/>
    <x v="221"/>
    <x v="0"/>
    <x v="0"/>
    <n v="7.2602739726027394"/>
    <x v="0"/>
    <n v="12776"/>
    <n v="2.65"/>
    <n v="1.38"/>
    <n v="15"/>
  </r>
  <r>
    <n v="231"/>
    <x v="5"/>
    <x v="222"/>
    <x v="0"/>
    <x v="0"/>
    <n v="6.4246575342465757"/>
    <x v="0"/>
    <n v="3987"/>
    <n v="2.77"/>
    <n v="3.53"/>
    <n v="24"/>
  </r>
  <r>
    <n v="232"/>
    <x v="2"/>
    <x v="25"/>
    <x v="0"/>
    <x v="0"/>
    <n v="3.6684931506849314"/>
    <x v="0"/>
    <n v="4343"/>
    <n v="3.21"/>
    <n v="2.71"/>
    <n v="6"/>
  </r>
  <r>
    <n v="233"/>
    <x v="5"/>
    <x v="223"/>
    <x v="0"/>
    <x v="0"/>
    <n v="6.5287671232876709"/>
    <x v="0"/>
    <n v="14543"/>
    <n v="4.17"/>
    <n v="3.31"/>
    <n v="6"/>
  </r>
  <r>
    <n v="234"/>
    <x v="1"/>
    <x v="224"/>
    <x v="57"/>
    <x v="1"/>
    <n v="2.9205479452054797"/>
    <x v="2"/>
    <n v="10843"/>
    <n v="2.68"/>
    <n v="2.42"/>
    <n v="3"/>
  </r>
  <r>
    <n v="235"/>
    <x v="1"/>
    <x v="225"/>
    <x v="0"/>
    <x v="0"/>
    <n v="6.6164383561643838"/>
    <x v="0"/>
    <n v="6713"/>
    <n v="3.92"/>
    <n v="2.08"/>
    <n v="7"/>
  </r>
  <r>
    <n v="236"/>
    <x v="3"/>
    <x v="226"/>
    <x v="0"/>
    <x v="0"/>
    <n v="2.1698630136986301"/>
    <x v="0"/>
    <n v="10979"/>
    <n v="4.01"/>
    <n v="4.9800000000000004"/>
    <n v="1"/>
  </r>
  <r>
    <n v="237"/>
    <x v="5"/>
    <x v="227"/>
    <x v="0"/>
    <x v="0"/>
    <n v="3.441095890410959"/>
    <x v="0"/>
    <n v="13593"/>
    <n v="3.74"/>
    <n v="1.36"/>
    <n v="4"/>
  </r>
  <r>
    <n v="238"/>
    <x v="4"/>
    <x v="228"/>
    <x v="0"/>
    <x v="0"/>
    <n v="5.5479452054794525"/>
    <x v="0"/>
    <n v="3207"/>
    <n v="4.47"/>
    <n v="1"/>
    <n v="15"/>
  </r>
  <r>
    <n v="239"/>
    <x v="1"/>
    <x v="229"/>
    <x v="0"/>
    <x v="0"/>
    <n v="2.419178082191781"/>
    <x v="0"/>
    <n v="13754"/>
    <n v="3.2"/>
    <n v="1.61"/>
    <n v="4"/>
  </r>
  <r>
    <n v="240"/>
    <x v="1"/>
    <x v="230"/>
    <x v="0"/>
    <x v="0"/>
    <n v="7.7232876712328764"/>
    <x v="0"/>
    <n v="5368"/>
    <n v="3.87"/>
    <n v="1.36"/>
    <n v="6"/>
  </r>
  <r>
    <n v="241"/>
    <x v="0"/>
    <x v="231"/>
    <x v="58"/>
    <x v="1"/>
    <n v="3.4027397260273973"/>
    <x v="11"/>
    <n v="14023"/>
    <n v="2.19"/>
    <n v="1.47"/>
    <n v="22"/>
  </r>
  <r>
    <n v="242"/>
    <x v="2"/>
    <x v="232"/>
    <x v="0"/>
    <x v="0"/>
    <n v="3.6273972602739728"/>
    <x v="0"/>
    <n v="5408"/>
    <n v="3.66"/>
    <n v="2.2200000000000002"/>
    <n v="19"/>
  </r>
  <r>
    <n v="243"/>
    <x v="2"/>
    <x v="233"/>
    <x v="0"/>
    <x v="0"/>
    <n v="8.0958904109589049"/>
    <x v="0"/>
    <n v="6267"/>
    <n v="4.3600000000000003"/>
    <n v="3.3"/>
    <n v="27"/>
  </r>
  <r>
    <n v="244"/>
    <x v="2"/>
    <x v="234"/>
    <x v="59"/>
    <x v="1"/>
    <n v="2.1945205479452055"/>
    <x v="8"/>
    <n v="7107"/>
    <n v="4.45"/>
    <n v="2.52"/>
    <n v="23"/>
  </r>
  <r>
    <n v="245"/>
    <x v="3"/>
    <x v="235"/>
    <x v="0"/>
    <x v="0"/>
    <n v="4.397260273972603"/>
    <x v="0"/>
    <n v="11325"/>
    <n v="4.46"/>
    <n v="2.29"/>
    <n v="2"/>
  </r>
  <r>
    <n v="246"/>
    <x v="2"/>
    <x v="236"/>
    <x v="0"/>
    <x v="0"/>
    <n v="5.441095890410959"/>
    <x v="0"/>
    <n v="5978"/>
    <n v="3.92"/>
    <n v="4.29"/>
    <n v="24"/>
  </r>
  <r>
    <n v="247"/>
    <x v="4"/>
    <x v="132"/>
    <x v="0"/>
    <x v="0"/>
    <n v="4.5917808219178085"/>
    <x v="0"/>
    <n v="7259"/>
    <n v="4.6900000000000004"/>
    <n v="4.32"/>
    <n v="19"/>
  </r>
  <r>
    <n v="248"/>
    <x v="4"/>
    <x v="237"/>
    <x v="0"/>
    <x v="0"/>
    <n v="5.6383561643835618"/>
    <x v="0"/>
    <n v="10045"/>
    <n v="2.2000000000000002"/>
    <n v="1.1000000000000001"/>
    <n v="24"/>
  </r>
  <r>
    <n v="249"/>
    <x v="0"/>
    <x v="238"/>
    <x v="0"/>
    <x v="0"/>
    <n v="8.0849315068493155"/>
    <x v="0"/>
    <n v="10179"/>
    <n v="2.94"/>
    <n v="3.02"/>
    <n v="17"/>
  </r>
  <r>
    <n v="250"/>
    <x v="3"/>
    <x v="239"/>
    <x v="0"/>
    <x v="0"/>
    <n v="8.131506849315068"/>
    <x v="0"/>
    <n v="5719"/>
    <n v="3.95"/>
    <n v="1.61"/>
    <n v="18"/>
  </r>
  <r>
    <n v="251"/>
    <x v="2"/>
    <x v="240"/>
    <x v="0"/>
    <x v="0"/>
    <n v="7.2191780821917808"/>
    <x v="0"/>
    <n v="9488"/>
    <n v="2.17"/>
    <n v="3.78"/>
    <n v="8"/>
  </r>
  <r>
    <n v="252"/>
    <x v="4"/>
    <x v="56"/>
    <x v="0"/>
    <x v="0"/>
    <n v="6.7013698630136984"/>
    <x v="0"/>
    <n v="8448"/>
    <n v="2.5299999999999998"/>
    <n v="3.77"/>
    <n v="0"/>
  </r>
  <r>
    <n v="253"/>
    <x v="4"/>
    <x v="241"/>
    <x v="0"/>
    <x v="0"/>
    <n v="5.1726027397260275"/>
    <x v="0"/>
    <n v="13340"/>
    <n v="3.87"/>
    <n v="3.11"/>
    <n v="6"/>
  </r>
  <r>
    <n v="254"/>
    <x v="0"/>
    <x v="242"/>
    <x v="0"/>
    <x v="0"/>
    <n v="3.8054794520547945"/>
    <x v="0"/>
    <n v="10870"/>
    <n v="3.1"/>
    <n v="2.66"/>
    <n v="13"/>
  </r>
  <r>
    <n v="255"/>
    <x v="0"/>
    <x v="243"/>
    <x v="0"/>
    <x v="0"/>
    <n v="2.3945205479452056"/>
    <x v="0"/>
    <n v="13837"/>
    <n v="2.4"/>
    <n v="2.67"/>
    <n v="5"/>
  </r>
  <r>
    <n v="256"/>
    <x v="2"/>
    <x v="244"/>
    <x v="0"/>
    <x v="0"/>
    <n v="1.7972602739726027"/>
    <x v="0"/>
    <n v="10638"/>
    <n v="2.65"/>
    <n v="1.05"/>
    <n v="17"/>
  </r>
  <r>
    <n v="257"/>
    <x v="0"/>
    <x v="245"/>
    <x v="0"/>
    <x v="0"/>
    <n v="6.956164383561644"/>
    <x v="0"/>
    <n v="5385"/>
    <n v="3.11"/>
    <n v="2.06"/>
    <n v="10"/>
  </r>
  <r>
    <n v="258"/>
    <x v="1"/>
    <x v="246"/>
    <x v="0"/>
    <x v="0"/>
    <n v="2.2575342465753425"/>
    <x v="0"/>
    <n v="8887"/>
    <n v="2.4500000000000002"/>
    <n v="2.2999999999999998"/>
    <n v="27"/>
  </r>
  <r>
    <n v="259"/>
    <x v="5"/>
    <x v="180"/>
    <x v="0"/>
    <x v="0"/>
    <n v="7.0273972602739727"/>
    <x v="0"/>
    <n v="14996"/>
    <n v="4.3600000000000003"/>
    <n v="4.57"/>
    <n v="8"/>
  </r>
  <r>
    <n v="260"/>
    <x v="4"/>
    <x v="247"/>
    <x v="0"/>
    <x v="0"/>
    <n v="3.1232876712328768"/>
    <x v="0"/>
    <n v="11616"/>
    <n v="2.76"/>
    <n v="4.3600000000000003"/>
    <n v="25"/>
  </r>
  <r>
    <n v="261"/>
    <x v="0"/>
    <x v="248"/>
    <x v="0"/>
    <x v="0"/>
    <n v="5.8904109589041092"/>
    <x v="0"/>
    <n v="10451"/>
    <n v="4.6900000000000004"/>
    <n v="3.55"/>
    <n v="14"/>
  </r>
  <r>
    <n v="262"/>
    <x v="0"/>
    <x v="249"/>
    <x v="60"/>
    <x v="1"/>
    <n v="0.11506849315068493"/>
    <x v="3"/>
    <n v="10083"/>
    <n v="2.13"/>
    <n v="1.34"/>
    <n v="10"/>
  </r>
  <r>
    <n v="263"/>
    <x v="5"/>
    <x v="250"/>
    <x v="0"/>
    <x v="0"/>
    <n v="2.4109589041095889"/>
    <x v="0"/>
    <n v="11599"/>
    <n v="3.53"/>
    <n v="2.5499999999999998"/>
    <n v="13"/>
  </r>
  <r>
    <n v="264"/>
    <x v="1"/>
    <x v="251"/>
    <x v="61"/>
    <x v="1"/>
    <n v="3.7561643835616438"/>
    <x v="5"/>
    <n v="8330"/>
    <n v="2.52"/>
    <n v="1.39"/>
    <n v="29"/>
  </r>
  <r>
    <n v="265"/>
    <x v="2"/>
    <x v="252"/>
    <x v="62"/>
    <x v="1"/>
    <n v="2.7342465753424658"/>
    <x v="1"/>
    <n v="12765"/>
    <n v="4.7"/>
    <n v="4.13"/>
    <n v="7"/>
  </r>
  <r>
    <n v="266"/>
    <x v="2"/>
    <x v="253"/>
    <x v="0"/>
    <x v="0"/>
    <n v="7.4246575342465757"/>
    <x v="0"/>
    <n v="8960"/>
    <n v="2.78"/>
    <n v="1.28"/>
    <n v="24"/>
  </r>
  <r>
    <n v="267"/>
    <x v="3"/>
    <x v="254"/>
    <x v="0"/>
    <x v="0"/>
    <n v="3.128767123287671"/>
    <x v="0"/>
    <n v="9910"/>
    <n v="2.88"/>
    <n v="4.92"/>
    <n v="21"/>
  </r>
  <r>
    <n v="268"/>
    <x v="1"/>
    <x v="103"/>
    <x v="0"/>
    <x v="0"/>
    <n v="8.2520547945205482"/>
    <x v="0"/>
    <n v="8960"/>
    <n v="3.8"/>
    <n v="1.38"/>
    <n v="7"/>
  </r>
  <r>
    <n v="269"/>
    <x v="1"/>
    <x v="255"/>
    <x v="0"/>
    <x v="0"/>
    <n v="3.4246575342465753"/>
    <x v="0"/>
    <n v="10128"/>
    <n v="4.78"/>
    <n v="3.7"/>
    <n v="18"/>
  </r>
  <r>
    <n v="270"/>
    <x v="0"/>
    <x v="256"/>
    <x v="63"/>
    <x v="1"/>
    <n v="3.2876712328767121"/>
    <x v="8"/>
    <n v="12759"/>
    <n v="2.78"/>
    <n v="3.18"/>
    <n v="20"/>
  </r>
  <r>
    <n v="271"/>
    <x v="0"/>
    <x v="257"/>
    <x v="64"/>
    <x v="1"/>
    <n v="1.3123287671232877"/>
    <x v="2"/>
    <n v="3301"/>
    <n v="3.97"/>
    <n v="1.71"/>
    <n v="21"/>
  </r>
  <r>
    <n v="272"/>
    <x v="4"/>
    <x v="17"/>
    <x v="65"/>
    <x v="1"/>
    <n v="1.1917808219178083"/>
    <x v="3"/>
    <n v="13773"/>
    <n v="2.3199999999999998"/>
    <n v="3.74"/>
    <n v="19"/>
  </r>
  <r>
    <n v="273"/>
    <x v="5"/>
    <x v="258"/>
    <x v="66"/>
    <x v="1"/>
    <n v="2.4493150684931506"/>
    <x v="8"/>
    <n v="7183"/>
    <n v="4.2699999999999996"/>
    <n v="3.97"/>
    <n v="2"/>
  </r>
  <r>
    <n v="274"/>
    <x v="5"/>
    <x v="259"/>
    <x v="0"/>
    <x v="0"/>
    <n v="1.4328767123287671"/>
    <x v="0"/>
    <n v="3022"/>
    <n v="3.91"/>
    <n v="4.04"/>
    <n v="14"/>
  </r>
  <r>
    <n v="275"/>
    <x v="2"/>
    <x v="260"/>
    <x v="0"/>
    <x v="0"/>
    <n v="4.7917808219178086"/>
    <x v="0"/>
    <n v="6727"/>
    <n v="4.6399999999999997"/>
    <n v="2.11"/>
    <n v="2"/>
  </r>
  <r>
    <n v="276"/>
    <x v="2"/>
    <x v="261"/>
    <x v="0"/>
    <x v="0"/>
    <n v="3.3671232876712329"/>
    <x v="0"/>
    <n v="11033"/>
    <n v="4.2"/>
    <n v="3.46"/>
    <n v="26"/>
  </r>
  <r>
    <n v="277"/>
    <x v="0"/>
    <x v="262"/>
    <x v="0"/>
    <x v="0"/>
    <n v="7.6191780821917812"/>
    <x v="0"/>
    <n v="5547"/>
    <n v="4.5199999999999996"/>
    <n v="4.33"/>
    <n v="13"/>
  </r>
  <r>
    <n v="278"/>
    <x v="2"/>
    <x v="263"/>
    <x v="0"/>
    <x v="0"/>
    <n v="1.6712328767123288"/>
    <x v="0"/>
    <n v="10604"/>
    <n v="2.4500000000000002"/>
    <n v="2.2200000000000002"/>
    <n v="23"/>
  </r>
  <r>
    <n v="279"/>
    <x v="2"/>
    <x v="264"/>
    <x v="0"/>
    <x v="0"/>
    <n v="6.646575342465753"/>
    <x v="0"/>
    <n v="5179"/>
    <n v="4.34"/>
    <n v="1.87"/>
    <n v="25"/>
  </r>
  <r>
    <n v="280"/>
    <x v="0"/>
    <x v="265"/>
    <x v="0"/>
    <x v="0"/>
    <n v="3.6547945205479451"/>
    <x v="0"/>
    <n v="5023"/>
    <n v="2.5"/>
    <n v="1.73"/>
    <n v="12"/>
  </r>
  <r>
    <n v="281"/>
    <x v="1"/>
    <x v="266"/>
    <x v="0"/>
    <x v="0"/>
    <n v="6.2931506849315069"/>
    <x v="0"/>
    <n v="6292"/>
    <n v="3.74"/>
    <n v="3.25"/>
    <n v="3"/>
  </r>
  <r>
    <n v="282"/>
    <x v="2"/>
    <x v="267"/>
    <x v="0"/>
    <x v="0"/>
    <n v="7.5506849315068489"/>
    <x v="0"/>
    <n v="3593"/>
    <n v="2.97"/>
    <n v="3.55"/>
    <n v="18"/>
  </r>
  <r>
    <n v="283"/>
    <x v="0"/>
    <x v="268"/>
    <x v="0"/>
    <x v="0"/>
    <n v="5.882191780821918"/>
    <x v="0"/>
    <n v="3541"/>
    <n v="4.4800000000000004"/>
    <n v="3.08"/>
    <n v="12"/>
  </r>
  <r>
    <n v="284"/>
    <x v="4"/>
    <x v="269"/>
    <x v="0"/>
    <x v="0"/>
    <n v="6.0191780821917806"/>
    <x v="0"/>
    <n v="12398"/>
    <n v="2.19"/>
    <n v="4.21"/>
    <n v="14"/>
  </r>
  <r>
    <n v="285"/>
    <x v="1"/>
    <x v="270"/>
    <x v="67"/>
    <x v="1"/>
    <n v="0.86027397260273974"/>
    <x v="1"/>
    <n v="8237"/>
    <n v="3.91"/>
    <n v="4.1399999999999997"/>
    <n v="26"/>
  </r>
  <r>
    <n v="286"/>
    <x v="3"/>
    <x v="271"/>
    <x v="0"/>
    <x v="0"/>
    <n v="6.9178082191780819"/>
    <x v="0"/>
    <n v="5171"/>
    <n v="3.76"/>
    <n v="1.74"/>
    <n v="28"/>
  </r>
  <r>
    <n v="287"/>
    <x v="5"/>
    <x v="250"/>
    <x v="68"/>
    <x v="1"/>
    <n v="3.9123287671232876"/>
    <x v="4"/>
    <n v="8068"/>
    <n v="3.76"/>
    <n v="3.79"/>
    <n v="26"/>
  </r>
  <r>
    <n v="288"/>
    <x v="0"/>
    <x v="272"/>
    <x v="0"/>
    <x v="0"/>
    <n v="6.515068493150685"/>
    <x v="0"/>
    <n v="4449"/>
    <n v="3.13"/>
    <n v="2.85"/>
    <n v="19"/>
  </r>
  <r>
    <n v="289"/>
    <x v="2"/>
    <x v="273"/>
    <x v="69"/>
    <x v="1"/>
    <n v="0.77534246575342469"/>
    <x v="6"/>
    <n v="11895"/>
    <n v="2.2400000000000002"/>
    <n v="3.91"/>
    <n v="17"/>
  </r>
  <r>
    <n v="290"/>
    <x v="4"/>
    <x v="274"/>
    <x v="70"/>
    <x v="1"/>
    <n v="2.0712328767123287"/>
    <x v="10"/>
    <n v="13851"/>
    <n v="3.83"/>
    <n v="1.54"/>
    <n v="19"/>
  </r>
  <r>
    <n v="291"/>
    <x v="1"/>
    <x v="275"/>
    <x v="0"/>
    <x v="0"/>
    <n v="7.9506849315068493"/>
    <x v="0"/>
    <n v="9868"/>
    <n v="2.85"/>
    <n v="2.0499999999999998"/>
    <n v="2"/>
  </r>
  <r>
    <n v="292"/>
    <x v="3"/>
    <x v="276"/>
    <x v="0"/>
    <x v="0"/>
    <n v="1.6438356164383561"/>
    <x v="0"/>
    <n v="3631"/>
    <n v="3.29"/>
    <n v="4.38"/>
    <n v="5"/>
  </r>
  <r>
    <n v="293"/>
    <x v="0"/>
    <x v="277"/>
    <x v="0"/>
    <x v="0"/>
    <n v="4.8054794520547945"/>
    <x v="0"/>
    <n v="8960"/>
    <n v="4.72"/>
    <n v="1.56"/>
    <n v="3"/>
  </r>
  <r>
    <n v="294"/>
    <x v="5"/>
    <x v="278"/>
    <x v="0"/>
    <x v="0"/>
    <n v="2.3287671232876712"/>
    <x v="0"/>
    <n v="14333"/>
    <n v="3.99"/>
    <n v="4.8499999999999996"/>
    <n v="14"/>
  </r>
  <r>
    <n v="295"/>
    <x v="0"/>
    <x v="279"/>
    <x v="71"/>
    <x v="1"/>
    <n v="3.117808219178082"/>
    <x v="4"/>
    <n v="4449"/>
    <n v="3.87"/>
    <n v="2.98"/>
    <n v="20"/>
  </r>
  <r>
    <n v="296"/>
    <x v="5"/>
    <x v="280"/>
    <x v="0"/>
    <x v="0"/>
    <n v="3.2986301369863016"/>
    <x v="0"/>
    <n v="6670"/>
    <n v="3.39"/>
    <n v="4.8899999999999997"/>
    <n v="11"/>
  </r>
  <r>
    <n v="297"/>
    <x v="4"/>
    <x v="281"/>
    <x v="0"/>
    <x v="0"/>
    <n v="2.8438356164383563"/>
    <x v="0"/>
    <n v="9304"/>
    <n v="2.75"/>
    <n v="4.4000000000000004"/>
    <n v="22"/>
  </r>
  <r>
    <n v="298"/>
    <x v="0"/>
    <x v="282"/>
    <x v="0"/>
    <x v="0"/>
    <n v="1.9835616438356165"/>
    <x v="0"/>
    <n v="3572"/>
    <n v="2.2000000000000002"/>
    <n v="3.83"/>
    <n v="16"/>
  </r>
  <r>
    <n v="299"/>
    <x v="3"/>
    <x v="283"/>
    <x v="0"/>
    <x v="0"/>
    <n v="1.4109589041095891"/>
    <x v="0"/>
    <n v="13849"/>
    <n v="4.84"/>
    <n v="4.4000000000000004"/>
    <n v="1"/>
  </r>
  <r>
    <n v="300"/>
    <x v="5"/>
    <x v="284"/>
    <x v="0"/>
    <x v="0"/>
    <n v="7.4520547945205475"/>
    <x v="0"/>
    <n v="6750"/>
    <n v="3.54"/>
    <n v="4.2300000000000004"/>
    <n v="9"/>
  </r>
  <r>
    <n v="301"/>
    <x v="5"/>
    <x v="285"/>
    <x v="72"/>
    <x v="1"/>
    <n v="0.67671232876712328"/>
    <x v="1"/>
    <n v="4854"/>
    <n v="4.62"/>
    <n v="3.18"/>
    <n v="3"/>
  </r>
  <r>
    <n v="302"/>
    <x v="3"/>
    <x v="286"/>
    <x v="73"/>
    <x v="1"/>
    <n v="1.832876712328767"/>
    <x v="10"/>
    <n v="8774"/>
    <n v="4.6399999999999997"/>
    <n v="4.4800000000000004"/>
    <n v="26"/>
  </r>
  <r>
    <n v="303"/>
    <x v="2"/>
    <x v="287"/>
    <x v="74"/>
    <x v="1"/>
    <n v="0.13150684931506848"/>
    <x v="1"/>
    <n v="6867"/>
    <n v="2.2000000000000002"/>
    <n v="2.86"/>
    <n v="7"/>
  </r>
  <r>
    <n v="304"/>
    <x v="2"/>
    <x v="288"/>
    <x v="0"/>
    <x v="0"/>
    <n v="4.4767123287671229"/>
    <x v="0"/>
    <n v="12203"/>
    <n v="3.36"/>
    <n v="2.59"/>
    <n v="10"/>
  </r>
  <r>
    <n v="305"/>
    <x v="5"/>
    <x v="289"/>
    <x v="75"/>
    <x v="1"/>
    <n v="1.4821917808219178"/>
    <x v="2"/>
    <n v="5551"/>
    <n v="3.07"/>
    <n v="4.03"/>
    <n v="4"/>
  </r>
  <r>
    <n v="306"/>
    <x v="4"/>
    <x v="290"/>
    <x v="0"/>
    <x v="0"/>
    <n v="7.7041095890410958"/>
    <x v="0"/>
    <n v="7654"/>
    <n v="3.56"/>
    <n v="2.79"/>
    <n v="5"/>
  </r>
  <r>
    <n v="307"/>
    <x v="5"/>
    <x v="46"/>
    <x v="76"/>
    <x v="1"/>
    <n v="3.547945205479452"/>
    <x v="5"/>
    <n v="14116"/>
    <n v="4.95"/>
    <n v="1.56"/>
    <n v="0"/>
  </r>
  <r>
    <n v="308"/>
    <x v="0"/>
    <x v="291"/>
    <x v="0"/>
    <x v="0"/>
    <n v="7.8876712328767127"/>
    <x v="0"/>
    <n v="3687"/>
    <n v="3.85"/>
    <n v="1.33"/>
    <n v="8"/>
  </r>
  <r>
    <n v="309"/>
    <x v="3"/>
    <x v="292"/>
    <x v="77"/>
    <x v="1"/>
    <n v="1.1917808219178083"/>
    <x v="3"/>
    <n v="10183"/>
    <n v="2.37"/>
    <n v="3.9"/>
    <n v="1"/>
  </r>
  <r>
    <n v="310"/>
    <x v="3"/>
    <x v="293"/>
    <x v="0"/>
    <x v="0"/>
    <n v="5.0191780821917806"/>
    <x v="0"/>
    <n v="4529"/>
    <n v="2.04"/>
    <n v="3.24"/>
    <n v="0"/>
  </r>
  <r>
    <n v="311"/>
    <x v="1"/>
    <x v="294"/>
    <x v="0"/>
    <x v="0"/>
    <n v="2.0986301369863014"/>
    <x v="0"/>
    <n v="10833"/>
    <n v="2.56"/>
    <n v="4.43"/>
    <n v="19"/>
  </r>
  <r>
    <n v="312"/>
    <x v="3"/>
    <x v="295"/>
    <x v="78"/>
    <x v="1"/>
    <n v="1.8164383561643835"/>
    <x v="6"/>
    <n v="10544"/>
    <n v="3.38"/>
    <n v="2.4300000000000002"/>
    <n v="1"/>
  </r>
  <r>
    <n v="313"/>
    <x v="1"/>
    <x v="296"/>
    <x v="79"/>
    <x v="1"/>
    <n v="2.1808219178082191"/>
    <x v="1"/>
    <n v="13013"/>
    <n v="4.4800000000000004"/>
    <n v="1.4"/>
    <n v="20"/>
  </r>
  <r>
    <n v="314"/>
    <x v="2"/>
    <x v="297"/>
    <x v="0"/>
    <x v="0"/>
    <n v="5.7945205479452051"/>
    <x v="0"/>
    <n v="9450"/>
    <n v="3.95"/>
    <n v="3.48"/>
    <n v="21"/>
  </r>
  <r>
    <n v="315"/>
    <x v="1"/>
    <x v="298"/>
    <x v="0"/>
    <x v="0"/>
    <n v="5.1150684931506847"/>
    <x v="0"/>
    <n v="4674"/>
    <n v="2.09"/>
    <n v="3.96"/>
    <n v="1"/>
  </r>
  <r>
    <n v="316"/>
    <x v="1"/>
    <x v="299"/>
    <x v="0"/>
    <x v="0"/>
    <n v="3.473972602739726"/>
    <x v="0"/>
    <n v="12262"/>
    <n v="2.68"/>
    <n v="4.3499999999999996"/>
    <n v="22"/>
  </r>
  <r>
    <n v="317"/>
    <x v="5"/>
    <x v="300"/>
    <x v="0"/>
    <x v="0"/>
    <n v="2.3890410958904109"/>
    <x v="0"/>
    <n v="9659"/>
    <n v="3.08"/>
    <n v="1.27"/>
    <n v="24"/>
  </r>
  <r>
    <n v="318"/>
    <x v="3"/>
    <x v="301"/>
    <x v="0"/>
    <x v="0"/>
    <n v="2.1917808219178081"/>
    <x v="0"/>
    <n v="11179"/>
    <n v="4.3"/>
    <n v="4.1500000000000004"/>
    <n v="12"/>
  </r>
  <r>
    <n v="319"/>
    <x v="5"/>
    <x v="302"/>
    <x v="80"/>
    <x v="1"/>
    <n v="1.8383561643835618"/>
    <x v="2"/>
    <n v="7741"/>
    <n v="2.33"/>
    <n v="2.79"/>
    <n v="5"/>
  </r>
  <r>
    <n v="320"/>
    <x v="0"/>
    <x v="303"/>
    <x v="0"/>
    <x v="0"/>
    <n v="3.7506849315068491"/>
    <x v="0"/>
    <n v="12031"/>
    <n v="4.41"/>
    <n v="2.92"/>
    <n v="16"/>
  </r>
  <r>
    <n v="321"/>
    <x v="3"/>
    <x v="304"/>
    <x v="0"/>
    <x v="0"/>
    <n v="6.5342465753424657"/>
    <x v="0"/>
    <n v="7249"/>
    <n v="4.12"/>
    <n v="4.8899999999999997"/>
    <n v="2"/>
  </r>
  <r>
    <n v="322"/>
    <x v="4"/>
    <x v="4"/>
    <x v="81"/>
    <x v="1"/>
    <n v="4.0931506849315067"/>
    <x v="8"/>
    <n v="8960"/>
    <n v="4.18"/>
    <n v="2.2200000000000002"/>
    <n v="22"/>
  </r>
  <r>
    <n v="323"/>
    <x v="5"/>
    <x v="305"/>
    <x v="0"/>
    <x v="0"/>
    <n v="1.2876712328767124"/>
    <x v="0"/>
    <n v="5990"/>
    <n v="2.36"/>
    <n v="1.27"/>
    <n v="16"/>
  </r>
  <r>
    <n v="324"/>
    <x v="4"/>
    <x v="306"/>
    <x v="0"/>
    <x v="0"/>
    <n v="5.0136986301369859"/>
    <x v="0"/>
    <n v="14639"/>
    <n v="2.2200000000000002"/>
    <n v="1.91"/>
    <n v="13"/>
  </r>
  <r>
    <n v="325"/>
    <x v="1"/>
    <x v="307"/>
    <x v="0"/>
    <x v="0"/>
    <n v="6.8109589041095893"/>
    <x v="0"/>
    <n v="11259"/>
    <n v="2.99"/>
    <n v="2.36"/>
    <n v="23"/>
  </r>
  <r>
    <n v="326"/>
    <x v="0"/>
    <x v="108"/>
    <x v="0"/>
    <x v="0"/>
    <n v="1.4164383561643836"/>
    <x v="0"/>
    <n v="12277"/>
    <n v="3.75"/>
    <n v="4.9800000000000004"/>
    <n v="17"/>
  </r>
  <r>
    <n v="327"/>
    <x v="0"/>
    <x v="308"/>
    <x v="0"/>
    <x v="0"/>
    <n v="6.5643835616438357"/>
    <x v="0"/>
    <n v="4348"/>
    <n v="3.47"/>
    <n v="3.95"/>
    <n v="8"/>
  </r>
  <r>
    <n v="328"/>
    <x v="1"/>
    <x v="111"/>
    <x v="82"/>
    <x v="1"/>
    <n v="3.0931506849315067"/>
    <x v="5"/>
    <n v="12250"/>
    <n v="3.72"/>
    <n v="3.07"/>
    <n v="14"/>
  </r>
  <r>
    <n v="329"/>
    <x v="3"/>
    <x v="309"/>
    <x v="0"/>
    <x v="0"/>
    <n v="3.6575342465753424"/>
    <x v="0"/>
    <n v="14851"/>
    <n v="3.02"/>
    <n v="1.66"/>
    <n v="21"/>
  </r>
  <r>
    <n v="330"/>
    <x v="5"/>
    <x v="310"/>
    <x v="0"/>
    <x v="0"/>
    <n v="4.8630136986301373"/>
    <x v="0"/>
    <n v="12765"/>
    <n v="2.71"/>
    <n v="3.05"/>
    <n v="27"/>
  </r>
  <r>
    <n v="331"/>
    <x v="1"/>
    <x v="311"/>
    <x v="0"/>
    <x v="0"/>
    <n v="6.9753424657534246"/>
    <x v="0"/>
    <n v="11770"/>
    <n v="3.8"/>
    <n v="3.97"/>
    <n v="0"/>
  </r>
  <r>
    <n v="332"/>
    <x v="3"/>
    <x v="60"/>
    <x v="0"/>
    <x v="0"/>
    <n v="3.6931506849315068"/>
    <x v="0"/>
    <n v="10429"/>
    <n v="2.12"/>
    <n v="3.42"/>
    <n v="26"/>
  </r>
  <r>
    <n v="333"/>
    <x v="1"/>
    <x v="57"/>
    <x v="0"/>
    <x v="0"/>
    <n v="6.7561643835616438"/>
    <x v="0"/>
    <n v="10616"/>
    <n v="3.87"/>
    <n v="2.88"/>
    <n v="15"/>
  </r>
  <r>
    <n v="334"/>
    <x v="4"/>
    <x v="51"/>
    <x v="0"/>
    <x v="0"/>
    <n v="4.6054794520547944"/>
    <x v="0"/>
    <n v="9796"/>
    <n v="2.15"/>
    <n v="4.33"/>
    <n v="19"/>
  </r>
  <r>
    <n v="335"/>
    <x v="2"/>
    <x v="312"/>
    <x v="0"/>
    <x v="0"/>
    <n v="5.5232876712328771"/>
    <x v="0"/>
    <n v="3340"/>
    <n v="3.19"/>
    <n v="1.18"/>
    <n v="8"/>
  </r>
  <r>
    <n v="336"/>
    <x v="0"/>
    <x v="313"/>
    <x v="0"/>
    <x v="0"/>
    <n v="7.5123287671232877"/>
    <x v="0"/>
    <n v="7912"/>
    <n v="3.04"/>
    <n v="3.03"/>
    <n v="8"/>
  </r>
  <r>
    <n v="337"/>
    <x v="5"/>
    <x v="314"/>
    <x v="0"/>
    <x v="0"/>
    <n v="5.1068493150684935"/>
    <x v="0"/>
    <n v="4517"/>
    <n v="2.82"/>
    <n v="2.58"/>
    <n v="11"/>
  </r>
  <r>
    <n v="338"/>
    <x v="0"/>
    <x v="315"/>
    <x v="0"/>
    <x v="0"/>
    <n v="2.0383561643835617"/>
    <x v="0"/>
    <n v="9132"/>
    <n v="2.89"/>
    <n v="3.87"/>
    <n v="27"/>
  </r>
  <r>
    <n v="339"/>
    <x v="4"/>
    <x v="316"/>
    <x v="83"/>
    <x v="1"/>
    <n v="0.95890410958904104"/>
    <x v="2"/>
    <n v="11365"/>
    <n v="2.1800000000000002"/>
    <n v="3.42"/>
    <n v="17"/>
  </r>
  <r>
    <n v="340"/>
    <x v="1"/>
    <x v="317"/>
    <x v="0"/>
    <x v="0"/>
    <n v="2.7095890410958905"/>
    <x v="0"/>
    <n v="3989"/>
    <n v="2.2799999999999998"/>
    <n v="3.39"/>
    <n v="7"/>
  </r>
  <r>
    <n v="341"/>
    <x v="4"/>
    <x v="318"/>
    <x v="84"/>
    <x v="1"/>
    <n v="0.67123287671232879"/>
    <x v="10"/>
    <n v="3331"/>
    <n v="4.83"/>
    <n v="3.67"/>
    <n v="8"/>
  </r>
  <r>
    <n v="342"/>
    <x v="5"/>
    <x v="319"/>
    <x v="0"/>
    <x v="0"/>
    <n v="3.9972602739726026"/>
    <x v="0"/>
    <n v="13058"/>
    <n v="2.42"/>
    <n v="1.46"/>
    <n v="6"/>
  </r>
  <r>
    <n v="343"/>
    <x v="1"/>
    <x v="320"/>
    <x v="85"/>
    <x v="1"/>
    <n v="1.1643835616438356"/>
    <x v="10"/>
    <n v="13693"/>
    <n v="2.2000000000000002"/>
    <n v="3.14"/>
    <n v="7"/>
  </r>
  <r>
    <n v="344"/>
    <x v="4"/>
    <x v="321"/>
    <x v="86"/>
    <x v="1"/>
    <n v="2.9068493150684933"/>
    <x v="3"/>
    <n v="5466"/>
    <n v="3.2"/>
    <n v="4.6399999999999997"/>
    <n v="29"/>
  </r>
  <r>
    <n v="345"/>
    <x v="4"/>
    <x v="322"/>
    <x v="0"/>
    <x v="0"/>
    <n v="2.5972602739726027"/>
    <x v="0"/>
    <n v="10446"/>
    <n v="3.16"/>
    <n v="4.41"/>
    <n v="3"/>
  </r>
  <r>
    <n v="346"/>
    <x v="4"/>
    <x v="323"/>
    <x v="0"/>
    <x v="0"/>
    <n v="3.4438356164383563"/>
    <x v="0"/>
    <n v="7020"/>
    <n v="2.68"/>
    <n v="2.54"/>
    <n v="2"/>
  </r>
  <r>
    <n v="347"/>
    <x v="4"/>
    <x v="324"/>
    <x v="87"/>
    <x v="1"/>
    <n v="1.7726027397260273"/>
    <x v="8"/>
    <n v="6134"/>
    <n v="2.04"/>
    <n v="2.48"/>
    <n v="21"/>
  </r>
  <r>
    <n v="348"/>
    <x v="4"/>
    <x v="325"/>
    <x v="0"/>
    <x v="0"/>
    <n v="1.8356164383561644"/>
    <x v="0"/>
    <n v="13135"/>
    <n v="3.29"/>
    <n v="1.57"/>
    <n v="23"/>
  </r>
  <r>
    <n v="349"/>
    <x v="1"/>
    <x v="326"/>
    <x v="88"/>
    <x v="1"/>
    <n v="3.8136986301369862"/>
    <x v="2"/>
    <n v="8960"/>
    <n v="3.91"/>
    <n v="2.36"/>
    <n v="26"/>
  </r>
  <r>
    <n v="350"/>
    <x v="4"/>
    <x v="327"/>
    <x v="0"/>
    <x v="0"/>
    <n v="1.8054794520547945"/>
    <x v="0"/>
    <n v="14120"/>
    <n v="3.09"/>
    <n v="1.87"/>
    <n v="11"/>
  </r>
  <r>
    <n v="351"/>
    <x v="1"/>
    <x v="328"/>
    <x v="0"/>
    <x v="0"/>
    <n v="3.3753424657534246"/>
    <x v="0"/>
    <n v="8744"/>
    <n v="2.08"/>
    <n v="3.02"/>
    <n v="10"/>
  </r>
  <r>
    <n v="352"/>
    <x v="2"/>
    <x v="329"/>
    <x v="0"/>
    <x v="0"/>
    <n v="7.6986301369863011"/>
    <x v="0"/>
    <n v="12370"/>
    <n v="3.24"/>
    <n v="2.58"/>
    <n v="5"/>
  </r>
  <r>
    <n v="353"/>
    <x v="0"/>
    <x v="330"/>
    <x v="89"/>
    <x v="1"/>
    <n v="1.1041095890410959"/>
    <x v="3"/>
    <n v="7009"/>
    <n v="4.87"/>
    <n v="2.2599999999999998"/>
    <n v="22"/>
  </r>
  <r>
    <n v="354"/>
    <x v="2"/>
    <x v="229"/>
    <x v="0"/>
    <x v="0"/>
    <n v="2.419178082191781"/>
    <x v="0"/>
    <n v="9139"/>
    <n v="3.82"/>
    <n v="1.61"/>
    <n v="16"/>
  </r>
  <r>
    <n v="355"/>
    <x v="3"/>
    <x v="331"/>
    <x v="0"/>
    <x v="0"/>
    <n v="6.5534246575342463"/>
    <x v="0"/>
    <n v="14332"/>
    <n v="3.63"/>
    <n v="4.05"/>
    <n v="26"/>
  </r>
  <r>
    <n v="356"/>
    <x v="5"/>
    <x v="332"/>
    <x v="90"/>
    <x v="1"/>
    <n v="3.504109589041096"/>
    <x v="11"/>
    <n v="12569"/>
    <n v="2.17"/>
    <n v="2.37"/>
    <n v="11"/>
  </r>
  <r>
    <n v="357"/>
    <x v="5"/>
    <x v="333"/>
    <x v="0"/>
    <x v="0"/>
    <n v="8.0328767123287665"/>
    <x v="0"/>
    <n v="3358"/>
    <n v="3.75"/>
    <n v="5"/>
    <n v="12"/>
  </r>
  <r>
    <n v="358"/>
    <x v="5"/>
    <x v="334"/>
    <x v="0"/>
    <x v="0"/>
    <n v="7.5424657534246577"/>
    <x v="0"/>
    <n v="9652"/>
    <n v="3.87"/>
    <n v="3.28"/>
    <n v="25"/>
  </r>
  <r>
    <n v="359"/>
    <x v="0"/>
    <x v="335"/>
    <x v="0"/>
    <x v="0"/>
    <n v="4.7041095890410958"/>
    <x v="0"/>
    <n v="8960"/>
    <n v="3.63"/>
    <n v="1.91"/>
    <n v="26"/>
  </r>
  <r>
    <n v="360"/>
    <x v="5"/>
    <x v="336"/>
    <x v="91"/>
    <x v="1"/>
    <n v="1.9013698630136986"/>
    <x v="5"/>
    <n v="13037"/>
    <n v="2.39"/>
    <n v="4.16"/>
    <n v="27"/>
  </r>
  <r>
    <n v="361"/>
    <x v="1"/>
    <x v="337"/>
    <x v="0"/>
    <x v="0"/>
    <n v="2.6301369863013697"/>
    <x v="0"/>
    <n v="4960"/>
    <n v="2.4500000000000002"/>
    <n v="2.85"/>
    <n v="15"/>
  </r>
  <r>
    <n v="362"/>
    <x v="1"/>
    <x v="311"/>
    <x v="0"/>
    <x v="0"/>
    <n v="6.9753424657534246"/>
    <x v="0"/>
    <n v="10166"/>
    <n v="3.57"/>
    <n v="3.25"/>
    <n v="22"/>
  </r>
  <r>
    <n v="363"/>
    <x v="5"/>
    <x v="338"/>
    <x v="0"/>
    <x v="0"/>
    <n v="2.4821917808219176"/>
    <x v="0"/>
    <n v="5808"/>
    <n v="4.68"/>
    <n v="2.82"/>
    <n v="27"/>
  </r>
  <r>
    <n v="364"/>
    <x v="1"/>
    <x v="339"/>
    <x v="92"/>
    <x v="1"/>
    <n v="2.9945205479452053"/>
    <x v="3"/>
    <n v="12094"/>
    <n v="2.33"/>
    <n v="4.42"/>
    <n v="16"/>
  </r>
  <r>
    <n v="365"/>
    <x v="4"/>
    <x v="340"/>
    <x v="0"/>
    <x v="0"/>
    <n v="1.8986301369863015"/>
    <x v="0"/>
    <n v="6935"/>
    <n v="2.77"/>
    <n v="1.1200000000000001"/>
    <n v="14"/>
  </r>
  <r>
    <n v="366"/>
    <x v="2"/>
    <x v="288"/>
    <x v="0"/>
    <x v="0"/>
    <n v="4.4767123287671229"/>
    <x v="0"/>
    <n v="13719"/>
    <n v="4.62"/>
    <n v="3.11"/>
    <n v="29"/>
  </r>
  <r>
    <n v="367"/>
    <x v="1"/>
    <x v="341"/>
    <x v="0"/>
    <x v="0"/>
    <n v="2.506849315068493"/>
    <x v="0"/>
    <n v="9337"/>
    <n v="3.59"/>
    <n v="4.17"/>
    <n v="2"/>
  </r>
  <r>
    <n v="368"/>
    <x v="2"/>
    <x v="342"/>
    <x v="93"/>
    <x v="1"/>
    <n v="0.53424657534246578"/>
    <x v="2"/>
    <n v="7208"/>
    <n v="2.13"/>
    <n v="2.37"/>
    <n v="4"/>
  </r>
  <r>
    <n v="369"/>
    <x v="0"/>
    <x v="94"/>
    <x v="0"/>
    <x v="0"/>
    <n v="1.4246575342465753"/>
    <x v="0"/>
    <n v="7236"/>
    <n v="3.98"/>
    <n v="4.0599999999999996"/>
    <n v="3"/>
  </r>
  <r>
    <n v="370"/>
    <x v="4"/>
    <x v="25"/>
    <x v="0"/>
    <x v="0"/>
    <n v="3.6684931506849314"/>
    <x v="0"/>
    <n v="7897"/>
    <n v="3.22"/>
    <n v="1.26"/>
    <n v="2"/>
  </r>
  <r>
    <n v="371"/>
    <x v="3"/>
    <x v="343"/>
    <x v="0"/>
    <x v="0"/>
    <n v="6.2410958904109588"/>
    <x v="0"/>
    <n v="3187"/>
    <n v="2.02"/>
    <n v="1.4"/>
    <n v="5"/>
  </r>
  <r>
    <n v="372"/>
    <x v="4"/>
    <x v="344"/>
    <x v="0"/>
    <x v="0"/>
    <n v="4.5123287671232877"/>
    <x v="0"/>
    <n v="13614"/>
    <n v="3.43"/>
    <n v="1.58"/>
    <n v="25"/>
  </r>
  <r>
    <n v="373"/>
    <x v="1"/>
    <x v="345"/>
    <x v="0"/>
    <x v="0"/>
    <n v="7.1643835616438354"/>
    <x v="0"/>
    <n v="8409"/>
    <n v="4.79"/>
    <n v="2.62"/>
    <n v="26"/>
  </r>
  <r>
    <n v="374"/>
    <x v="0"/>
    <x v="346"/>
    <x v="0"/>
    <x v="0"/>
    <n v="6.5890410958904111"/>
    <x v="0"/>
    <n v="5368"/>
    <n v="2.1"/>
    <n v="1.86"/>
    <n v="18"/>
  </r>
  <r>
    <n v="375"/>
    <x v="3"/>
    <x v="347"/>
    <x v="0"/>
    <x v="0"/>
    <n v="7.3013698630136989"/>
    <x v="0"/>
    <n v="13576"/>
    <n v="3.36"/>
    <n v="4.29"/>
    <n v="21"/>
  </r>
  <r>
    <n v="376"/>
    <x v="2"/>
    <x v="348"/>
    <x v="0"/>
    <x v="0"/>
    <n v="4.6301369863013697"/>
    <x v="0"/>
    <n v="9555"/>
    <n v="2.87"/>
    <n v="3.25"/>
    <n v="3"/>
  </r>
  <r>
    <n v="377"/>
    <x v="2"/>
    <x v="349"/>
    <x v="0"/>
    <x v="0"/>
    <n v="1.8575342465753424"/>
    <x v="0"/>
    <n v="12227"/>
    <n v="2.4"/>
    <n v="3.52"/>
    <n v="10"/>
  </r>
  <r>
    <n v="378"/>
    <x v="4"/>
    <x v="350"/>
    <x v="0"/>
    <x v="0"/>
    <n v="2.3452054794520549"/>
    <x v="0"/>
    <n v="10758"/>
    <n v="4.3499999999999996"/>
    <n v="3.86"/>
    <n v="21"/>
  </r>
  <r>
    <n v="379"/>
    <x v="2"/>
    <x v="351"/>
    <x v="0"/>
    <x v="0"/>
    <n v="2.6684931506849314"/>
    <x v="0"/>
    <n v="9056"/>
    <n v="2.25"/>
    <n v="4.72"/>
    <n v="24"/>
  </r>
  <r>
    <n v="380"/>
    <x v="5"/>
    <x v="352"/>
    <x v="0"/>
    <x v="0"/>
    <n v="4.3150684931506849"/>
    <x v="0"/>
    <n v="7232"/>
    <n v="4.37"/>
    <n v="4.57"/>
    <n v="12"/>
  </r>
  <r>
    <n v="381"/>
    <x v="3"/>
    <x v="353"/>
    <x v="0"/>
    <x v="0"/>
    <n v="6.5041095890410956"/>
    <x v="0"/>
    <n v="13863"/>
    <n v="2.35"/>
    <n v="1.17"/>
    <n v="28"/>
  </r>
  <r>
    <n v="382"/>
    <x v="5"/>
    <x v="168"/>
    <x v="0"/>
    <x v="0"/>
    <n v="2.6191780821917807"/>
    <x v="0"/>
    <n v="14992"/>
    <n v="2.5"/>
    <n v="3.85"/>
    <n v="12"/>
  </r>
  <r>
    <n v="383"/>
    <x v="1"/>
    <x v="354"/>
    <x v="0"/>
    <x v="0"/>
    <n v="4.7315068493150685"/>
    <x v="0"/>
    <n v="3522"/>
    <n v="2.89"/>
    <n v="1.42"/>
    <n v="18"/>
  </r>
  <r>
    <n v="384"/>
    <x v="0"/>
    <x v="355"/>
    <x v="0"/>
    <x v="0"/>
    <n v="4.9726027397260273"/>
    <x v="0"/>
    <n v="14049"/>
    <n v="3.16"/>
    <n v="4.46"/>
    <n v="2"/>
  </r>
  <r>
    <n v="385"/>
    <x v="2"/>
    <x v="356"/>
    <x v="0"/>
    <x v="0"/>
    <n v="8.1890410958904116"/>
    <x v="0"/>
    <n v="10935"/>
    <n v="2.16"/>
    <n v="4.07"/>
    <n v="17"/>
  </r>
  <r>
    <n v="386"/>
    <x v="1"/>
    <x v="5"/>
    <x v="0"/>
    <x v="0"/>
    <n v="3.4684931506849317"/>
    <x v="0"/>
    <n v="13270"/>
    <n v="4.6100000000000003"/>
    <n v="3.92"/>
    <n v="21"/>
  </r>
  <r>
    <n v="387"/>
    <x v="0"/>
    <x v="114"/>
    <x v="0"/>
    <x v="0"/>
    <n v="5.5534246575342463"/>
    <x v="0"/>
    <n v="13070"/>
    <n v="2.41"/>
    <n v="3.61"/>
    <n v="17"/>
  </r>
  <r>
    <n v="388"/>
    <x v="3"/>
    <x v="357"/>
    <x v="0"/>
    <x v="0"/>
    <n v="3.5315068493150683"/>
    <x v="0"/>
    <n v="12131"/>
    <n v="2.6"/>
    <n v="4.5599999999999996"/>
    <n v="27"/>
  </r>
  <r>
    <n v="389"/>
    <x v="0"/>
    <x v="358"/>
    <x v="0"/>
    <x v="0"/>
    <n v="7.506849315068493"/>
    <x v="0"/>
    <n v="10480"/>
    <n v="3.63"/>
    <n v="1.4"/>
    <n v="9"/>
  </r>
  <r>
    <n v="390"/>
    <x v="0"/>
    <x v="359"/>
    <x v="0"/>
    <x v="0"/>
    <n v="7.1260273972602741"/>
    <x v="0"/>
    <n v="6173"/>
    <n v="2.37"/>
    <n v="2.65"/>
    <n v="24"/>
  </r>
  <r>
    <n v="391"/>
    <x v="3"/>
    <x v="202"/>
    <x v="0"/>
    <x v="0"/>
    <n v="4.6164383561643838"/>
    <x v="0"/>
    <n v="5064"/>
    <n v="4.17"/>
    <n v="4.51"/>
    <n v="25"/>
  </r>
  <r>
    <n v="392"/>
    <x v="3"/>
    <x v="360"/>
    <x v="0"/>
    <x v="0"/>
    <n v="5.2493150684931509"/>
    <x v="0"/>
    <n v="6923"/>
    <n v="2.66"/>
    <n v="1.53"/>
    <n v="11"/>
  </r>
  <r>
    <n v="393"/>
    <x v="0"/>
    <x v="361"/>
    <x v="0"/>
    <x v="0"/>
    <n v="7.1123287671232873"/>
    <x v="0"/>
    <n v="8818"/>
    <n v="2.5499999999999998"/>
    <n v="2.74"/>
    <n v="20"/>
  </r>
  <r>
    <n v="394"/>
    <x v="2"/>
    <x v="362"/>
    <x v="0"/>
    <x v="0"/>
    <n v="8.1013698630136979"/>
    <x v="0"/>
    <n v="5566"/>
    <n v="2"/>
    <n v="2.2000000000000002"/>
    <n v="3"/>
  </r>
  <r>
    <n v="395"/>
    <x v="1"/>
    <x v="363"/>
    <x v="0"/>
    <x v="0"/>
    <n v="1.5917808219178082"/>
    <x v="0"/>
    <n v="8960"/>
    <n v="4.3499999999999996"/>
    <n v="4.12"/>
    <n v="7"/>
  </r>
  <r>
    <n v="396"/>
    <x v="5"/>
    <x v="364"/>
    <x v="0"/>
    <x v="0"/>
    <n v="4.1753424657534248"/>
    <x v="0"/>
    <n v="11835"/>
    <n v="4.8099999999999996"/>
    <n v="3.41"/>
    <n v="12"/>
  </r>
  <r>
    <n v="397"/>
    <x v="1"/>
    <x v="365"/>
    <x v="0"/>
    <x v="0"/>
    <n v="7.1479452054794521"/>
    <x v="0"/>
    <n v="12433"/>
    <n v="2.72"/>
    <n v="3.12"/>
    <n v="19"/>
  </r>
  <r>
    <n v="398"/>
    <x v="1"/>
    <x v="366"/>
    <x v="0"/>
    <x v="0"/>
    <n v="6.2027397260273975"/>
    <x v="0"/>
    <n v="3277"/>
    <n v="2.59"/>
    <n v="1.56"/>
    <n v="25"/>
  </r>
  <r>
    <n v="399"/>
    <x v="5"/>
    <x v="367"/>
    <x v="94"/>
    <x v="1"/>
    <n v="0.1095890410958904"/>
    <x v="6"/>
    <n v="10468"/>
    <n v="3.58"/>
    <n v="4.63"/>
    <n v="27"/>
  </r>
  <r>
    <n v="400"/>
    <x v="4"/>
    <x v="368"/>
    <x v="0"/>
    <x v="0"/>
    <n v="6.2821917808219174"/>
    <x v="0"/>
    <n v="4072"/>
    <n v="4.17"/>
    <n v="3.16"/>
    <n v="8"/>
  </r>
  <r>
    <n v="401"/>
    <x v="2"/>
    <x v="369"/>
    <x v="0"/>
    <x v="0"/>
    <n v="6.0520547945205481"/>
    <x v="0"/>
    <n v="12968"/>
    <n v="2.69"/>
    <n v="1.18"/>
    <n v="0"/>
  </r>
  <r>
    <n v="402"/>
    <x v="5"/>
    <x v="370"/>
    <x v="95"/>
    <x v="1"/>
    <n v="0.34246575342465752"/>
    <x v="1"/>
    <n v="5783"/>
    <n v="2.23"/>
    <n v="2.1"/>
    <n v="21"/>
  </r>
  <r>
    <n v="403"/>
    <x v="3"/>
    <x v="371"/>
    <x v="96"/>
    <x v="1"/>
    <n v="2.4547945205479453"/>
    <x v="5"/>
    <n v="13541"/>
    <n v="2.5"/>
    <n v="2.78"/>
    <n v="11"/>
  </r>
  <r>
    <n v="404"/>
    <x v="1"/>
    <x v="372"/>
    <x v="97"/>
    <x v="1"/>
    <n v="3.3424657534246576"/>
    <x v="3"/>
    <n v="14424"/>
    <n v="3.58"/>
    <n v="2.57"/>
    <n v="11"/>
  </r>
  <r>
    <n v="405"/>
    <x v="1"/>
    <x v="373"/>
    <x v="98"/>
    <x v="1"/>
    <n v="3.3561643835616439"/>
    <x v="2"/>
    <n v="13082"/>
    <n v="4.8600000000000003"/>
    <n v="3.09"/>
    <n v="11"/>
  </r>
  <r>
    <n v="406"/>
    <x v="4"/>
    <x v="374"/>
    <x v="0"/>
    <x v="0"/>
    <n v="2.2356164383561645"/>
    <x v="0"/>
    <n v="10186"/>
    <n v="2.04"/>
    <n v="1.06"/>
    <n v="11"/>
  </r>
  <r>
    <n v="407"/>
    <x v="5"/>
    <x v="375"/>
    <x v="99"/>
    <x v="1"/>
    <n v="2.7589041095890412"/>
    <x v="5"/>
    <n v="14617"/>
    <n v="4.8600000000000003"/>
    <n v="4.87"/>
    <n v="7"/>
  </r>
  <r>
    <n v="408"/>
    <x v="3"/>
    <x v="376"/>
    <x v="0"/>
    <x v="0"/>
    <n v="4.904109589041096"/>
    <x v="0"/>
    <n v="6423"/>
    <n v="3.37"/>
    <n v="4.13"/>
    <n v="19"/>
  </r>
  <r>
    <n v="409"/>
    <x v="3"/>
    <x v="377"/>
    <x v="0"/>
    <x v="0"/>
    <n v="2.6575342465753424"/>
    <x v="0"/>
    <n v="9236"/>
    <n v="2.0299999999999998"/>
    <n v="2.4300000000000002"/>
    <n v="27"/>
  </r>
  <r>
    <n v="410"/>
    <x v="5"/>
    <x v="272"/>
    <x v="0"/>
    <x v="0"/>
    <n v="6.515068493150685"/>
    <x v="0"/>
    <n v="11148"/>
    <n v="4.54"/>
    <n v="3.92"/>
    <n v="26"/>
  </r>
  <r>
    <n v="411"/>
    <x v="5"/>
    <x v="378"/>
    <x v="0"/>
    <x v="0"/>
    <n v="8.205479452054794"/>
    <x v="0"/>
    <n v="14128"/>
    <n v="2"/>
    <n v="4.6100000000000003"/>
    <n v="21"/>
  </r>
  <r>
    <n v="412"/>
    <x v="5"/>
    <x v="379"/>
    <x v="0"/>
    <x v="0"/>
    <n v="4.2328767123287667"/>
    <x v="0"/>
    <n v="9689"/>
    <n v="4.28"/>
    <n v="2.4900000000000002"/>
    <n v="19"/>
  </r>
  <r>
    <n v="413"/>
    <x v="3"/>
    <x v="380"/>
    <x v="0"/>
    <x v="0"/>
    <n v="5.8575342465753426"/>
    <x v="0"/>
    <n v="10778"/>
    <n v="3.07"/>
    <n v="4.1500000000000004"/>
    <n v="19"/>
  </r>
  <r>
    <n v="414"/>
    <x v="0"/>
    <x v="182"/>
    <x v="0"/>
    <x v="0"/>
    <n v="6.7589041095890412"/>
    <x v="0"/>
    <n v="6162"/>
    <n v="4.71"/>
    <n v="4.51"/>
    <n v="19"/>
  </r>
  <r>
    <n v="415"/>
    <x v="2"/>
    <x v="205"/>
    <x v="0"/>
    <x v="0"/>
    <n v="3.452054794520548"/>
    <x v="0"/>
    <n v="6786"/>
    <n v="4.87"/>
    <n v="1.59"/>
    <n v="23"/>
  </r>
  <r>
    <n v="416"/>
    <x v="0"/>
    <x v="381"/>
    <x v="0"/>
    <x v="0"/>
    <n v="4.3068493150684928"/>
    <x v="0"/>
    <n v="10423"/>
    <n v="3.55"/>
    <n v="4.04"/>
    <n v="18"/>
  </r>
  <r>
    <n v="417"/>
    <x v="2"/>
    <x v="382"/>
    <x v="0"/>
    <x v="0"/>
    <n v="2.0904109589041098"/>
    <x v="0"/>
    <n v="10812"/>
    <n v="3.43"/>
    <n v="2.99"/>
    <n v="19"/>
  </r>
  <r>
    <n v="418"/>
    <x v="4"/>
    <x v="383"/>
    <x v="0"/>
    <x v="0"/>
    <n v="7.8493150684931505"/>
    <x v="0"/>
    <n v="12583"/>
    <n v="2.62"/>
    <n v="1.28"/>
    <n v="3"/>
  </r>
  <r>
    <n v="419"/>
    <x v="5"/>
    <x v="384"/>
    <x v="0"/>
    <x v="0"/>
    <n v="7.2219178082191782"/>
    <x v="0"/>
    <n v="5468"/>
    <n v="4.4800000000000004"/>
    <n v="1.19"/>
    <n v="3"/>
  </r>
  <r>
    <n v="420"/>
    <x v="2"/>
    <x v="385"/>
    <x v="0"/>
    <x v="0"/>
    <n v="2.8191780821917809"/>
    <x v="0"/>
    <n v="6075"/>
    <n v="3.62"/>
    <n v="2.13"/>
    <n v="22"/>
  </r>
  <r>
    <n v="421"/>
    <x v="3"/>
    <x v="386"/>
    <x v="100"/>
    <x v="1"/>
    <n v="2.1945205479452055"/>
    <x v="5"/>
    <n v="7276"/>
    <n v="3.25"/>
    <n v="3.09"/>
    <n v="4"/>
  </r>
  <r>
    <n v="422"/>
    <x v="3"/>
    <x v="387"/>
    <x v="0"/>
    <x v="0"/>
    <n v="5.5972602739726032"/>
    <x v="0"/>
    <n v="6156"/>
    <n v="2"/>
    <n v="3.92"/>
    <n v="27"/>
  </r>
  <r>
    <n v="423"/>
    <x v="5"/>
    <x v="364"/>
    <x v="0"/>
    <x v="0"/>
    <n v="4.1753424657534248"/>
    <x v="0"/>
    <n v="13990"/>
    <n v="3.83"/>
    <n v="4.58"/>
    <n v="4"/>
  </r>
  <r>
    <n v="424"/>
    <x v="5"/>
    <x v="388"/>
    <x v="0"/>
    <x v="0"/>
    <n v="7.2958904109589042"/>
    <x v="0"/>
    <n v="3205"/>
    <n v="5"/>
    <n v="2.62"/>
    <n v="15"/>
  </r>
  <r>
    <n v="425"/>
    <x v="0"/>
    <x v="389"/>
    <x v="101"/>
    <x v="1"/>
    <n v="0.66301369863013704"/>
    <x v="9"/>
    <n v="11501"/>
    <n v="2.2400000000000002"/>
    <n v="3.18"/>
    <n v="9"/>
  </r>
  <r>
    <n v="426"/>
    <x v="2"/>
    <x v="228"/>
    <x v="0"/>
    <x v="0"/>
    <n v="5.5479452054794525"/>
    <x v="0"/>
    <n v="11712"/>
    <n v="3.45"/>
    <n v="2.4500000000000002"/>
    <n v="15"/>
  </r>
  <r>
    <n v="427"/>
    <x v="4"/>
    <x v="390"/>
    <x v="0"/>
    <x v="0"/>
    <n v="5.4575342465753423"/>
    <x v="0"/>
    <n v="8754"/>
    <n v="3.54"/>
    <n v="3.04"/>
    <n v="3"/>
  </r>
  <r>
    <n v="428"/>
    <x v="2"/>
    <x v="391"/>
    <x v="102"/>
    <x v="1"/>
    <n v="1.6958904109589041"/>
    <x v="1"/>
    <n v="7199"/>
    <n v="4.41"/>
    <n v="1.49"/>
    <n v="25"/>
  </r>
  <r>
    <n v="429"/>
    <x v="3"/>
    <x v="392"/>
    <x v="0"/>
    <x v="0"/>
    <n v="6.6602739726027398"/>
    <x v="0"/>
    <n v="8960"/>
    <n v="2.4300000000000002"/>
    <n v="1.85"/>
    <n v="19"/>
  </r>
  <r>
    <n v="430"/>
    <x v="5"/>
    <x v="393"/>
    <x v="103"/>
    <x v="1"/>
    <n v="3.3808219178082193"/>
    <x v="4"/>
    <n v="6408"/>
    <n v="3.69"/>
    <n v="4.79"/>
    <n v="0"/>
  </r>
  <r>
    <n v="431"/>
    <x v="2"/>
    <x v="394"/>
    <x v="0"/>
    <x v="0"/>
    <n v="7.3780821917808215"/>
    <x v="0"/>
    <n v="6171"/>
    <n v="3.15"/>
    <n v="1.1000000000000001"/>
    <n v="19"/>
  </r>
  <r>
    <n v="432"/>
    <x v="3"/>
    <x v="395"/>
    <x v="0"/>
    <x v="0"/>
    <n v="2.0630136986301371"/>
    <x v="0"/>
    <n v="14065"/>
    <n v="2.29"/>
    <n v="3.24"/>
    <n v="28"/>
  </r>
  <r>
    <n v="433"/>
    <x v="4"/>
    <x v="396"/>
    <x v="104"/>
    <x v="1"/>
    <n v="1.9315068493150684"/>
    <x v="3"/>
    <n v="3992"/>
    <n v="3.51"/>
    <n v="3.87"/>
    <n v="5"/>
  </r>
  <r>
    <n v="434"/>
    <x v="3"/>
    <x v="397"/>
    <x v="0"/>
    <x v="0"/>
    <n v="6.0328767123287674"/>
    <x v="0"/>
    <n v="11850"/>
    <n v="4.5999999999999996"/>
    <n v="1.63"/>
    <n v="3"/>
  </r>
  <r>
    <n v="435"/>
    <x v="2"/>
    <x v="398"/>
    <x v="0"/>
    <x v="0"/>
    <n v="7.7506849315068491"/>
    <x v="0"/>
    <n v="6093"/>
    <n v="2.75"/>
    <n v="3.5"/>
    <n v="2"/>
  </r>
  <r>
    <n v="436"/>
    <x v="5"/>
    <x v="399"/>
    <x v="105"/>
    <x v="1"/>
    <n v="1.2821917808219179"/>
    <x v="5"/>
    <n v="8960"/>
    <n v="2.16"/>
    <n v="3.2"/>
    <n v="29"/>
  </r>
  <r>
    <n v="437"/>
    <x v="0"/>
    <x v="400"/>
    <x v="0"/>
    <x v="0"/>
    <n v="4.3287671232876717"/>
    <x v="0"/>
    <n v="3139"/>
    <n v="4.2"/>
    <n v="2.62"/>
    <n v="21"/>
  </r>
  <r>
    <n v="438"/>
    <x v="4"/>
    <x v="309"/>
    <x v="0"/>
    <x v="0"/>
    <n v="3.6575342465753424"/>
    <x v="0"/>
    <n v="3049"/>
    <n v="3"/>
    <n v="1.23"/>
    <n v="14"/>
  </r>
  <r>
    <n v="439"/>
    <x v="4"/>
    <x v="401"/>
    <x v="0"/>
    <x v="0"/>
    <n v="1.8191780821917809"/>
    <x v="0"/>
    <n v="6765"/>
    <n v="4.34"/>
    <n v="4.1399999999999997"/>
    <n v="28"/>
  </r>
  <r>
    <n v="440"/>
    <x v="0"/>
    <x v="402"/>
    <x v="0"/>
    <x v="0"/>
    <n v="8.0986301369863014"/>
    <x v="0"/>
    <n v="8911"/>
    <n v="4.9400000000000004"/>
    <n v="1.27"/>
    <n v="28"/>
  </r>
  <r>
    <n v="441"/>
    <x v="2"/>
    <x v="403"/>
    <x v="106"/>
    <x v="1"/>
    <n v="1.1945205479452055"/>
    <x v="3"/>
    <n v="3517"/>
    <n v="3.67"/>
    <n v="1.76"/>
    <n v="19"/>
  </r>
  <r>
    <n v="442"/>
    <x v="5"/>
    <x v="306"/>
    <x v="0"/>
    <x v="0"/>
    <n v="5.0136986301369859"/>
    <x v="0"/>
    <n v="8808"/>
    <n v="2.62"/>
    <n v="2.93"/>
    <n v="15"/>
  </r>
  <r>
    <n v="443"/>
    <x v="2"/>
    <x v="388"/>
    <x v="0"/>
    <x v="0"/>
    <n v="7.2958904109589042"/>
    <x v="0"/>
    <n v="9309"/>
    <n v="2.23"/>
    <n v="1.3"/>
    <n v="5"/>
  </r>
  <r>
    <n v="444"/>
    <x v="4"/>
    <x v="404"/>
    <x v="0"/>
    <x v="0"/>
    <n v="6.8027397260273972"/>
    <x v="0"/>
    <n v="5195"/>
    <n v="3.95"/>
    <n v="2.0699999999999998"/>
    <n v="1"/>
  </r>
  <r>
    <n v="445"/>
    <x v="3"/>
    <x v="405"/>
    <x v="0"/>
    <x v="0"/>
    <n v="4.0109589041095894"/>
    <x v="0"/>
    <n v="4742"/>
    <n v="4.0199999999999996"/>
    <n v="3.33"/>
    <n v="26"/>
  </r>
  <r>
    <n v="446"/>
    <x v="1"/>
    <x v="406"/>
    <x v="0"/>
    <x v="0"/>
    <n v="4.9945205479452053"/>
    <x v="0"/>
    <n v="5305"/>
    <n v="2.3199999999999998"/>
    <n v="1.62"/>
    <n v="14"/>
  </r>
  <r>
    <n v="447"/>
    <x v="5"/>
    <x v="407"/>
    <x v="0"/>
    <x v="0"/>
    <n v="2.526027397260274"/>
    <x v="0"/>
    <n v="8960"/>
    <n v="3.88"/>
    <n v="2.4900000000000002"/>
    <n v="12"/>
  </r>
  <r>
    <n v="448"/>
    <x v="4"/>
    <x v="408"/>
    <x v="0"/>
    <x v="0"/>
    <n v="6.720547945205479"/>
    <x v="0"/>
    <n v="7396"/>
    <n v="3.35"/>
    <n v="4.83"/>
    <n v="3"/>
  </r>
  <r>
    <n v="449"/>
    <x v="3"/>
    <x v="409"/>
    <x v="0"/>
    <x v="0"/>
    <n v="3.0493150684931507"/>
    <x v="0"/>
    <n v="10071"/>
    <n v="2.31"/>
    <n v="1.03"/>
    <n v="21"/>
  </r>
  <r>
    <n v="450"/>
    <x v="1"/>
    <x v="60"/>
    <x v="0"/>
    <x v="0"/>
    <n v="3.6931506849315068"/>
    <x v="0"/>
    <n v="10674"/>
    <n v="4.58"/>
    <n v="4.2699999999999996"/>
    <n v="26"/>
  </r>
  <r>
    <n v="451"/>
    <x v="2"/>
    <x v="410"/>
    <x v="0"/>
    <x v="0"/>
    <n v="5.9369863013698634"/>
    <x v="0"/>
    <n v="5962"/>
    <n v="3.91"/>
    <n v="1.97"/>
    <n v="19"/>
  </r>
  <r>
    <n v="452"/>
    <x v="4"/>
    <x v="411"/>
    <x v="0"/>
    <x v="0"/>
    <n v="5.1890410958904107"/>
    <x v="0"/>
    <n v="13996"/>
    <n v="2.04"/>
    <n v="1.99"/>
    <n v="24"/>
  </r>
  <r>
    <n v="453"/>
    <x v="5"/>
    <x v="349"/>
    <x v="0"/>
    <x v="0"/>
    <n v="1.8575342465753424"/>
    <x v="0"/>
    <n v="8039"/>
    <n v="3.27"/>
    <n v="1.86"/>
    <n v="0"/>
  </r>
  <r>
    <n v="454"/>
    <x v="2"/>
    <x v="412"/>
    <x v="0"/>
    <x v="0"/>
    <n v="6.1452054794520548"/>
    <x v="0"/>
    <n v="4629"/>
    <n v="4.42"/>
    <n v="4.29"/>
    <n v="26"/>
  </r>
  <r>
    <n v="455"/>
    <x v="3"/>
    <x v="171"/>
    <x v="0"/>
    <x v="0"/>
    <n v="3.6849315068493151"/>
    <x v="0"/>
    <n v="13626"/>
    <n v="4.21"/>
    <n v="3.09"/>
    <n v="18"/>
  </r>
  <r>
    <n v="456"/>
    <x v="4"/>
    <x v="413"/>
    <x v="107"/>
    <x v="1"/>
    <n v="3.4657534246575343"/>
    <x v="1"/>
    <n v="10240"/>
    <n v="3"/>
    <n v="4.46"/>
    <n v="0"/>
  </r>
  <r>
    <n v="457"/>
    <x v="4"/>
    <x v="305"/>
    <x v="108"/>
    <x v="1"/>
    <n v="0.18356164383561643"/>
    <x v="11"/>
    <n v="4873"/>
    <n v="3.89"/>
    <n v="1.99"/>
    <n v="27"/>
  </r>
  <r>
    <n v="458"/>
    <x v="1"/>
    <x v="414"/>
    <x v="109"/>
    <x v="1"/>
    <n v="0.75616438356164384"/>
    <x v="11"/>
    <n v="14889"/>
    <n v="2.19"/>
    <n v="4.3"/>
    <n v="21"/>
  </r>
  <r>
    <n v="459"/>
    <x v="2"/>
    <x v="415"/>
    <x v="110"/>
    <x v="1"/>
    <n v="3.6958904109589041"/>
    <x v="4"/>
    <n v="10352"/>
    <n v="3.22"/>
    <n v="2.88"/>
    <n v="23"/>
  </r>
  <r>
    <n v="460"/>
    <x v="4"/>
    <x v="416"/>
    <x v="111"/>
    <x v="1"/>
    <n v="2.8547945205479452"/>
    <x v="11"/>
    <n v="12014"/>
    <n v="3.23"/>
    <n v="4.7"/>
    <n v="20"/>
  </r>
  <r>
    <n v="461"/>
    <x v="0"/>
    <x v="417"/>
    <x v="0"/>
    <x v="0"/>
    <n v="1.9972602739726026"/>
    <x v="0"/>
    <n v="5032"/>
    <n v="4.6500000000000004"/>
    <n v="4.26"/>
    <n v="19"/>
  </r>
  <r>
    <n v="462"/>
    <x v="1"/>
    <x v="418"/>
    <x v="0"/>
    <x v="0"/>
    <n v="4.0246575342465754"/>
    <x v="0"/>
    <n v="3195"/>
    <n v="3.66"/>
    <n v="2.02"/>
    <n v="28"/>
  </r>
  <r>
    <n v="463"/>
    <x v="1"/>
    <x v="419"/>
    <x v="0"/>
    <x v="0"/>
    <n v="7.9616438356164387"/>
    <x v="0"/>
    <n v="6927"/>
    <n v="4.74"/>
    <n v="4.8099999999999996"/>
    <n v="3"/>
  </r>
  <r>
    <n v="464"/>
    <x v="4"/>
    <x v="420"/>
    <x v="0"/>
    <x v="0"/>
    <n v="6.8"/>
    <x v="0"/>
    <n v="5854"/>
    <n v="4.71"/>
    <n v="1.31"/>
    <n v="12"/>
  </r>
  <r>
    <n v="465"/>
    <x v="3"/>
    <x v="421"/>
    <x v="0"/>
    <x v="0"/>
    <n v="3.0630136986301371"/>
    <x v="0"/>
    <n v="5472"/>
    <n v="4.51"/>
    <n v="4.4400000000000004"/>
    <n v="2"/>
  </r>
  <r>
    <n v="466"/>
    <x v="3"/>
    <x v="422"/>
    <x v="0"/>
    <x v="0"/>
    <n v="2.6712328767123288"/>
    <x v="0"/>
    <n v="13696"/>
    <n v="2.54"/>
    <n v="3.78"/>
    <n v="14"/>
  </r>
  <r>
    <n v="467"/>
    <x v="0"/>
    <x v="423"/>
    <x v="0"/>
    <x v="0"/>
    <n v="3.9232876712328766"/>
    <x v="0"/>
    <n v="8520"/>
    <n v="3.6"/>
    <n v="4.16"/>
    <n v="29"/>
  </r>
  <r>
    <n v="468"/>
    <x v="4"/>
    <x v="424"/>
    <x v="0"/>
    <x v="0"/>
    <n v="2.2383561643835614"/>
    <x v="0"/>
    <n v="11912"/>
    <n v="4.6399999999999997"/>
    <n v="1.49"/>
    <n v="14"/>
  </r>
  <r>
    <n v="469"/>
    <x v="1"/>
    <x v="425"/>
    <x v="0"/>
    <x v="0"/>
    <n v="2.9808219178082194"/>
    <x v="0"/>
    <n v="12928"/>
    <n v="2.5"/>
    <n v="1.97"/>
    <n v="18"/>
  </r>
  <r>
    <n v="470"/>
    <x v="3"/>
    <x v="426"/>
    <x v="0"/>
    <x v="0"/>
    <n v="7.6410958904109592"/>
    <x v="0"/>
    <n v="7507"/>
    <n v="3.24"/>
    <n v="4.0199999999999996"/>
    <n v="0"/>
  </r>
  <r>
    <n v="471"/>
    <x v="2"/>
    <x v="427"/>
    <x v="0"/>
    <x v="0"/>
    <n v="5.1780821917808222"/>
    <x v="0"/>
    <n v="9318"/>
    <n v="2.98"/>
    <n v="3.19"/>
    <n v="0"/>
  </r>
  <r>
    <n v="472"/>
    <x v="0"/>
    <x v="428"/>
    <x v="0"/>
    <x v="0"/>
    <n v="5.9972602739726026"/>
    <x v="0"/>
    <n v="13799"/>
    <n v="3.01"/>
    <n v="1.57"/>
    <n v="25"/>
  </r>
  <r>
    <n v="473"/>
    <x v="0"/>
    <x v="429"/>
    <x v="0"/>
    <x v="0"/>
    <n v="8.2657534246575342"/>
    <x v="0"/>
    <n v="12540"/>
    <n v="4.32"/>
    <n v="4.8099999999999996"/>
    <n v="0"/>
  </r>
  <r>
    <n v="474"/>
    <x v="4"/>
    <x v="430"/>
    <x v="0"/>
    <x v="0"/>
    <n v="6.1643835616438354"/>
    <x v="0"/>
    <n v="9314"/>
    <n v="3.68"/>
    <n v="3.51"/>
    <n v="25"/>
  </r>
  <r>
    <n v="475"/>
    <x v="4"/>
    <x v="46"/>
    <x v="0"/>
    <x v="0"/>
    <n v="4.882191780821918"/>
    <x v="0"/>
    <n v="6893"/>
    <n v="4.51"/>
    <n v="4.29"/>
    <n v="15"/>
  </r>
  <r>
    <n v="476"/>
    <x v="1"/>
    <x v="431"/>
    <x v="0"/>
    <x v="0"/>
    <n v="7.183561643835616"/>
    <x v="0"/>
    <n v="14186"/>
    <n v="3.53"/>
    <n v="4.28"/>
    <n v="8"/>
  </r>
  <r>
    <n v="477"/>
    <x v="5"/>
    <x v="432"/>
    <x v="112"/>
    <x v="1"/>
    <n v="2.5232876712328767"/>
    <x v="2"/>
    <n v="7234"/>
    <n v="4.41"/>
    <n v="4.6100000000000003"/>
    <n v="15"/>
  </r>
  <r>
    <n v="478"/>
    <x v="3"/>
    <x v="159"/>
    <x v="0"/>
    <x v="0"/>
    <n v="6.4986301369863018"/>
    <x v="0"/>
    <n v="5565"/>
    <n v="4.9000000000000004"/>
    <n v="1.27"/>
    <n v="24"/>
  </r>
  <r>
    <n v="479"/>
    <x v="2"/>
    <x v="433"/>
    <x v="113"/>
    <x v="1"/>
    <n v="0.38904109589041097"/>
    <x v="1"/>
    <n v="9476"/>
    <n v="4.99"/>
    <n v="3.24"/>
    <n v="28"/>
  </r>
  <r>
    <n v="480"/>
    <x v="5"/>
    <x v="434"/>
    <x v="0"/>
    <x v="0"/>
    <n v="8.0794520547945208"/>
    <x v="0"/>
    <n v="11397"/>
    <n v="3.11"/>
    <n v="2.86"/>
    <n v="19"/>
  </r>
  <r>
    <n v="481"/>
    <x v="5"/>
    <x v="435"/>
    <x v="0"/>
    <x v="0"/>
    <n v="6.3616438356164382"/>
    <x v="0"/>
    <n v="8960"/>
    <n v="3.99"/>
    <n v="2.94"/>
    <n v="27"/>
  </r>
  <r>
    <n v="482"/>
    <x v="2"/>
    <x v="407"/>
    <x v="0"/>
    <x v="0"/>
    <n v="2.526027397260274"/>
    <x v="0"/>
    <n v="9460"/>
    <n v="3.74"/>
    <n v="2.7"/>
    <n v="25"/>
  </r>
  <r>
    <n v="483"/>
    <x v="0"/>
    <x v="436"/>
    <x v="114"/>
    <x v="1"/>
    <n v="0.32876712328767121"/>
    <x v="2"/>
    <n v="13045"/>
    <n v="2.42"/>
    <n v="3.68"/>
    <n v="11"/>
  </r>
  <r>
    <n v="484"/>
    <x v="1"/>
    <x v="437"/>
    <x v="0"/>
    <x v="0"/>
    <n v="2.7178082191780821"/>
    <x v="0"/>
    <n v="12480"/>
    <n v="2.48"/>
    <n v="2.0299999999999998"/>
    <n v="2"/>
  </r>
  <r>
    <n v="485"/>
    <x v="2"/>
    <x v="269"/>
    <x v="0"/>
    <x v="0"/>
    <n v="6.0191780821917806"/>
    <x v="0"/>
    <n v="11995"/>
    <n v="4.2699999999999996"/>
    <n v="2.23"/>
    <n v="28"/>
  </r>
  <r>
    <n v="486"/>
    <x v="3"/>
    <x v="199"/>
    <x v="0"/>
    <x v="0"/>
    <n v="2.989041095890411"/>
    <x v="0"/>
    <n v="5575"/>
    <n v="2.72"/>
    <n v="1.86"/>
    <n v="29"/>
  </r>
  <r>
    <n v="487"/>
    <x v="2"/>
    <x v="438"/>
    <x v="115"/>
    <x v="1"/>
    <n v="1.7698630136986302"/>
    <x v="5"/>
    <n v="13539"/>
    <n v="3.75"/>
    <n v="1.53"/>
    <n v="18"/>
  </r>
  <r>
    <n v="488"/>
    <x v="2"/>
    <x v="439"/>
    <x v="116"/>
    <x v="1"/>
    <n v="0.17260273972602741"/>
    <x v="5"/>
    <n v="10485"/>
    <n v="4.08"/>
    <n v="2.06"/>
    <n v="5"/>
  </r>
  <r>
    <n v="489"/>
    <x v="0"/>
    <x v="440"/>
    <x v="0"/>
    <x v="0"/>
    <n v="6.0082191780821921"/>
    <x v="0"/>
    <n v="9111"/>
    <n v="2.66"/>
    <n v="3.38"/>
    <n v="21"/>
  </r>
  <r>
    <n v="490"/>
    <x v="0"/>
    <x v="441"/>
    <x v="0"/>
    <x v="0"/>
    <n v="6.2547945205479456"/>
    <x v="0"/>
    <n v="12166"/>
    <n v="4.95"/>
    <n v="4.1500000000000004"/>
    <n v="25"/>
  </r>
  <r>
    <n v="491"/>
    <x v="1"/>
    <x v="124"/>
    <x v="0"/>
    <x v="0"/>
    <n v="4.2602739726027394"/>
    <x v="0"/>
    <n v="3160"/>
    <n v="2.78"/>
    <n v="1.1299999999999999"/>
    <n v="20"/>
  </r>
  <r>
    <n v="492"/>
    <x v="0"/>
    <x v="442"/>
    <x v="117"/>
    <x v="1"/>
    <n v="2.1890410958904107"/>
    <x v="5"/>
    <n v="8960"/>
    <n v="2.97"/>
    <n v="4.59"/>
    <n v="26"/>
  </r>
  <r>
    <n v="493"/>
    <x v="0"/>
    <x v="443"/>
    <x v="0"/>
    <x v="0"/>
    <n v="4.4438356164383563"/>
    <x v="0"/>
    <n v="7172"/>
    <n v="2.75"/>
    <n v="3.31"/>
    <n v="5"/>
  </r>
  <r>
    <n v="494"/>
    <x v="1"/>
    <x v="444"/>
    <x v="0"/>
    <x v="0"/>
    <n v="6.1342465753424653"/>
    <x v="0"/>
    <n v="12867"/>
    <n v="4.42"/>
    <n v="4.43"/>
    <n v="12"/>
  </r>
  <r>
    <n v="495"/>
    <x v="0"/>
    <x v="31"/>
    <x v="0"/>
    <x v="0"/>
    <n v="5.4767123287671229"/>
    <x v="0"/>
    <n v="5828"/>
    <n v="3.08"/>
    <n v="4.13"/>
    <n v="10"/>
  </r>
  <r>
    <n v="496"/>
    <x v="1"/>
    <x v="445"/>
    <x v="0"/>
    <x v="0"/>
    <n v="5.8986301369863012"/>
    <x v="0"/>
    <n v="9644"/>
    <n v="4.29"/>
    <n v="3.49"/>
    <n v="3"/>
  </r>
  <r>
    <n v="497"/>
    <x v="5"/>
    <x v="213"/>
    <x v="0"/>
    <x v="0"/>
    <n v="5.912328767123288"/>
    <x v="0"/>
    <n v="10609"/>
    <n v="4.59"/>
    <n v="3.35"/>
    <n v="24"/>
  </r>
  <r>
    <n v="498"/>
    <x v="0"/>
    <x v="446"/>
    <x v="0"/>
    <x v="0"/>
    <n v="7.2054794520547949"/>
    <x v="0"/>
    <n v="7478"/>
    <n v="2.42"/>
    <n v="3.32"/>
    <n v="15"/>
  </r>
  <r>
    <n v="499"/>
    <x v="5"/>
    <x v="172"/>
    <x v="0"/>
    <x v="0"/>
    <n v="7.7452054794520544"/>
    <x v="0"/>
    <n v="8741"/>
    <n v="3.9"/>
    <n v="2.88"/>
    <n v="20"/>
  </r>
  <r>
    <n v="500"/>
    <x v="1"/>
    <x v="447"/>
    <x v="118"/>
    <x v="1"/>
    <n v="3.2630136986301368"/>
    <x v="4"/>
    <n v="8232"/>
    <n v="3.51"/>
    <n v="4.8"/>
    <n v="28"/>
  </r>
  <r>
    <n v="501"/>
    <x v="3"/>
    <x v="448"/>
    <x v="0"/>
    <x v="0"/>
    <n v="6.0630136986301366"/>
    <x v="0"/>
    <n v="10031"/>
    <n v="3.5"/>
    <n v="3.76"/>
    <n v="24"/>
  </r>
  <r>
    <n v="502"/>
    <x v="2"/>
    <x v="449"/>
    <x v="0"/>
    <x v="0"/>
    <n v="7.8356164383561646"/>
    <x v="0"/>
    <n v="3917"/>
    <n v="3.8"/>
    <n v="1.72"/>
    <n v="11"/>
  </r>
  <r>
    <n v="503"/>
    <x v="2"/>
    <x v="450"/>
    <x v="0"/>
    <x v="0"/>
    <n v="3.0027397260273974"/>
    <x v="0"/>
    <n v="10086"/>
    <n v="2.1800000000000002"/>
    <n v="3.74"/>
    <n v="0"/>
  </r>
  <r>
    <n v="504"/>
    <x v="5"/>
    <x v="451"/>
    <x v="0"/>
    <x v="0"/>
    <n v="4.1506849315068495"/>
    <x v="0"/>
    <n v="3206"/>
    <n v="4.88"/>
    <n v="3.14"/>
    <n v="23"/>
  </r>
  <r>
    <n v="505"/>
    <x v="0"/>
    <x v="452"/>
    <x v="119"/>
    <x v="1"/>
    <n v="1.5287671232876712"/>
    <x v="10"/>
    <n v="6020"/>
    <n v="3.93"/>
    <n v="1.31"/>
    <n v="10"/>
  </r>
  <r>
    <n v="506"/>
    <x v="5"/>
    <x v="453"/>
    <x v="0"/>
    <x v="0"/>
    <n v="7.8986301369863012"/>
    <x v="0"/>
    <n v="14413"/>
    <n v="2.69"/>
    <n v="4.66"/>
    <n v="19"/>
  </r>
  <r>
    <n v="507"/>
    <x v="3"/>
    <x v="454"/>
    <x v="120"/>
    <x v="1"/>
    <n v="3.032876712328767"/>
    <x v="5"/>
    <n v="8866"/>
    <n v="4.66"/>
    <n v="1.79"/>
    <n v="20"/>
  </r>
  <r>
    <n v="508"/>
    <x v="4"/>
    <x v="455"/>
    <x v="121"/>
    <x v="1"/>
    <n v="0.63013698630136983"/>
    <x v="5"/>
    <n v="5259"/>
    <n v="3.81"/>
    <n v="3.48"/>
    <n v="14"/>
  </r>
  <r>
    <n v="509"/>
    <x v="3"/>
    <x v="456"/>
    <x v="122"/>
    <x v="1"/>
    <n v="0.55890410958904113"/>
    <x v="1"/>
    <n v="9419"/>
    <n v="3.19"/>
    <n v="3.68"/>
    <n v="9"/>
  </r>
  <r>
    <n v="510"/>
    <x v="5"/>
    <x v="176"/>
    <x v="123"/>
    <x v="1"/>
    <n v="1.4684931506849315"/>
    <x v="1"/>
    <n v="7589"/>
    <n v="2.63"/>
    <n v="1.92"/>
    <n v="19"/>
  </r>
  <r>
    <n v="511"/>
    <x v="2"/>
    <x v="457"/>
    <x v="0"/>
    <x v="0"/>
    <n v="2.6547945205479451"/>
    <x v="0"/>
    <n v="9628"/>
    <n v="2.5"/>
    <n v="1.46"/>
    <n v="11"/>
  </r>
  <r>
    <n v="512"/>
    <x v="5"/>
    <x v="458"/>
    <x v="0"/>
    <x v="0"/>
    <n v="3.7643835616438355"/>
    <x v="0"/>
    <n v="11301"/>
    <n v="2.06"/>
    <n v="4.3099999999999996"/>
    <n v="27"/>
  </r>
  <r>
    <n v="513"/>
    <x v="0"/>
    <x v="459"/>
    <x v="0"/>
    <x v="0"/>
    <n v="3.8328767123287673"/>
    <x v="0"/>
    <n v="4036"/>
    <n v="4.43"/>
    <n v="1.59"/>
    <n v="5"/>
  </r>
  <r>
    <n v="514"/>
    <x v="3"/>
    <x v="460"/>
    <x v="124"/>
    <x v="1"/>
    <n v="1.7123287671232876"/>
    <x v="11"/>
    <n v="14905"/>
    <n v="3.85"/>
    <n v="1.62"/>
    <n v="5"/>
  </r>
  <r>
    <n v="515"/>
    <x v="3"/>
    <x v="413"/>
    <x v="125"/>
    <x v="1"/>
    <n v="0.26575342465753427"/>
    <x v="10"/>
    <n v="13135"/>
    <n v="3.46"/>
    <n v="1.33"/>
    <n v="22"/>
  </r>
  <r>
    <n v="516"/>
    <x v="2"/>
    <x v="461"/>
    <x v="126"/>
    <x v="1"/>
    <n v="2.7972602739726029"/>
    <x v="8"/>
    <n v="7920"/>
    <n v="3.09"/>
    <n v="1.76"/>
    <n v="24"/>
  </r>
  <r>
    <n v="517"/>
    <x v="5"/>
    <x v="299"/>
    <x v="0"/>
    <x v="0"/>
    <n v="3.473972602739726"/>
    <x v="0"/>
    <n v="8067"/>
    <n v="2.94"/>
    <n v="3.15"/>
    <n v="6"/>
  </r>
  <r>
    <n v="518"/>
    <x v="4"/>
    <x v="462"/>
    <x v="0"/>
    <x v="0"/>
    <n v="1.3753424657534246"/>
    <x v="0"/>
    <n v="7135"/>
    <n v="3.47"/>
    <n v="3.97"/>
    <n v="11"/>
  </r>
  <r>
    <n v="519"/>
    <x v="5"/>
    <x v="463"/>
    <x v="0"/>
    <x v="0"/>
    <n v="3.547945205479452"/>
    <x v="0"/>
    <n v="9587"/>
    <n v="3.22"/>
    <n v="2.31"/>
    <n v="3"/>
  </r>
  <r>
    <n v="520"/>
    <x v="3"/>
    <x v="464"/>
    <x v="0"/>
    <x v="0"/>
    <n v="4.9753424657534246"/>
    <x v="0"/>
    <n v="5535"/>
    <n v="2.5299999999999998"/>
    <n v="3.27"/>
    <n v="24"/>
  </r>
  <r>
    <n v="521"/>
    <x v="3"/>
    <x v="465"/>
    <x v="0"/>
    <x v="0"/>
    <n v="6.1506849315068495"/>
    <x v="0"/>
    <n v="4630"/>
    <n v="4.8"/>
    <n v="3.97"/>
    <n v="26"/>
  </r>
  <r>
    <n v="522"/>
    <x v="3"/>
    <x v="466"/>
    <x v="0"/>
    <x v="0"/>
    <n v="3.3726027397260272"/>
    <x v="0"/>
    <n v="9263"/>
    <n v="2.66"/>
    <n v="1.73"/>
    <n v="1"/>
  </r>
  <r>
    <n v="523"/>
    <x v="0"/>
    <x v="467"/>
    <x v="127"/>
    <x v="1"/>
    <n v="3.2739726027397262"/>
    <x v="2"/>
    <n v="9855"/>
    <n v="4.3600000000000003"/>
    <n v="2.0099999999999998"/>
    <n v="9"/>
  </r>
  <r>
    <n v="524"/>
    <x v="5"/>
    <x v="468"/>
    <x v="0"/>
    <x v="0"/>
    <n v="6.9095890410958907"/>
    <x v="0"/>
    <n v="10243"/>
    <n v="4.3899999999999997"/>
    <n v="1.7"/>
    <n v="24"/>
  </r>
  <r>
    <n v="525"/>
    <x v="3"/>
    <x v="469"/>
    <x v="0"/>
    <x v="0"/>
    <n v="5.8794520547945206"/>
    <x v="0"/>
    <n v="7820"/>
    <n v="2.79"/>
    <n v="1"/>
    <n v="9"/>
  </r>
  <r>
    <n v="526"/>
    <x v="1"/>
    <x v="470"/>
    <x v="128"/>
    <x v="1"/>
    <n v="3.506849315068493"/>
    <x v="3"/>
    <n v="5547"/>
    <n v="3.37"/>
    <n v="2.4"/>
    <n v="16"/>
  </r>
  <r>
    <n v="527"/>
    <x v="2"/>
    <x v="204"/>
    <x v="0"/>
    <x v="0"/>
    <n v="7.2438356164383562"/>
    <x v="0"/>
    <n v="8960"/>
    <n v="2.62"/>
    <n v="1.95"/>
    <n v="26"/>
  </r>
  <r>
    <n v="528"/>
    <x v="0"/>
    <x v="471"/>
    <x v="0"/>
    <x v="0"/>
    <n v="4.4465753424657537"/>
    <x v="0"/>
    <n v="12712"/>
    <n v="3.85"/>
    <n v="4.04"/>
    <n v="16"/>
  </r>
  <r>
    <n v="529"/>
    <x v="0"/>
    <x v="472"/>
    <x v="0"/>
    <x v="0"/>
    <n v="2.7808219178082192"/>
    <x v="0"/>
    <n v="9751"/>
    <n v="3.43"/>
    <n v="3.7"/>
    <n v="29"/>
  </r>
  <r>
    <n v="530"/>
    <x v="4"/>
    <x v="473"/>
    <x v="0"/>
    <x v="0"/>
    <n v="1.7726027397260273"/>
    <x v="0"/>
    <n v="14175"/>
    <n v="3.4"/>
    <n v="4.09"/>
    <n v="20"/>
  </r>
  <r>
    <n v="531"/>
    <x v="1"/>
    <x v="474"/>
    <x v="0"/>
    <x v="0"/>
    <n v="2.8054794520547945"/>
    <x v="0"/>
    <n v="10069"/>
    <n v="4.5199999999999996"/>
    <n v="1.64"/>
    <n v="2"/>
  </r>
  <r>
    <n v="532"/>
    <x v="4"/>
    <x v="475"/>
    <x v="129"/>
    <x v="1"/>
    <n v="0.36438356164383562"/>
    <x v="2"/>
    <n v="8960"/>
    <n v="2.33"/>
    <n v="3.43"/>
    <n v="7"/>
  </r>
  <r>
    <n v="533"/>
    <x v="1"/>
    <x v="476"/>
    <x v="130"/>
    <x v="1"/>
    <n v="2.6136986301369864"/>
    <x v="3"/>
    <n v="12536"/>
    <n v="2.17"/>
    <n v="3.27"/>
    <n v="16"/>
  </r>
  <r>
    <n v="534"/>
    <x v="2"/>
    <x v="459"/>
    <x v="0"/>
    <x v="0"/>
    <n v="3.8328767123287673"/>
    <x v="0"/>
    <n v="11924"/>
    <n v="4.78"/>
    <n v="2.46"/>
    <n v="5"/>
  </r>
  <r>
    <n v="535"/>
    <x v="5"/>
    <x v="409"/>
    <x v="0"/>
    <x v="0"/>
    <n v="3.0493150684931507"/>
    <x v="0"/>
    <n v="7917"/>
    <n v="3.26"/>
    <n v="2.17"/>
    <n v="20"/>
  </r>
  <r>
    <n v="536"/>
    <x v="5"/>
    <x v="104"/>
    <x v="131"/>
    <x v="1"/>
    <n v="3.7917808219178082"/>
    <x v="11"/>
    <n v="12062"/>
    <n v="4.04"/>
    <n v="2.27"/>
    <n v="1"/>
  </r>
  <r>
    <n v="537"/>
    <x v="0"/>
    <x v="477"/>
    <x v="0"/>
    <x v="0"/>
    <n v="7.4"/>
    <x v="0"/>
    <n v="10538"/>
    <n v="4.74"/>
    <n v="2.36"/>
    <n v="12"/>
  </r>
  <r>
    <n v="538"/>
    <x v="4"/>
    <x v="478"/>
    <x v="0"/>
    <x v="0"/>
    <n v="6.9835616438356167"/>
    <x v="0"/>
    <n v="6176"/>
    <n v="4.38"/>
    <n v="2.11"/>
    <n v="13"/>
  </r>
  <r>
    <n v="539"/>
    <x v="5"/>
    <x v="444"/>
    <x v="0"/>
    <x v="0"/>
    <n v="6.1342465753424653"/>
    <x v="0"/>
    <n v="7891"/>
    <n v="4.5"/>
    <n v="4.74"/>
    <n v="7"/>
  </r>
  <r>
    <n v="540"/>
    <x v="2"/>
    <x v="479"/>
    <x v="132"/>
    <x v="1"/>
    <n v="2.4684931506849317"/>
    <x v="4"/>
    <n v="7005"/>
    <n v="2.4900000000000002"/>
    <n v="3.38"/>
    <n v="23"/>
  </r>
  <r>
    <n v="541"/>
    <x v="0"/>
    <x v="480"/>
    <x v="0"/>
    <x v="0"/>
    <n v="5.9150684931506845"/>
    <x v="0"/>
    <n v="11728"/>
    <n v="2.02"/>
    <n v="1.24"/>
    <n v="8"/>
  </r>
  <r>
    <n v="542"/>
    <x v="2"/>
    <x v="481"/>
    <x v="133"/>
    <x v="1"/>
    <n v="3.558904109589041"/>
    <x v="1"/>
    <n v="11002"/>
    <n v="4.82"/>
    <n v="4.1399999999999997"/>
    <n v="2"/>
  </r>
  <r>
    <n v="543"/>
    <x v="0"/>
    <x v="482"/>
    <x v="0"/>
    <x v="0"/>
    <n v="7.9643835616438352"/>
    <x v="0"/>
    <n v="9305"/>
    <n v="4.2699999999999996"/>
    <n v="2.1800000000000002"/>
    <n v="15"/>
  </r>
  <r>
    <n v="544"/>
    <x v="4"/>
    <x v="483"/>
    <x v="0"/>
    <x v="0"/>
    <n v="4.2356164383561641"/>
    <x v="0"/>
    <n v="12461"/>
    <n v="3.03"/>
    <n v="2.72"/>
    <n v="16"/>
  </r>
  <r>
    <n v="545"/>
    <x v="0"/>
    <x v="484"/>
    <x v="134"/>
    <x v="1"/>
    <n v="3.2767123287671232"/>
    <x v="5"/>
    <n v="9589"/>
    <n v="4.05"/>
    <n v="4.8"/>
    <n v="13"/>
  </r>
  <r>
    <n v="546"/>
    <x v="3"/>
    <x v="116"/>
    <x v="0"/>
    <x v="0"/>
    <n v="3.4383561643835616"/>
    <x v="0"/>
    <n v="10192"/>
    <n v="3.64"/>
    <n v="4.6100000000000003"/>
    <n v="15"/>
  </r>
  <r>
    <n v="547"/>
    <x v="1"/>
    <x v="485"/>
    <x v="0"/>
    <x v="0"/>
    <n v="8.1068493150684926"/>
    <x v="0"/>
    <n v="3090"/>
    <n v="3.7"/>
    <n v="3.63"/>
    <n v="2"/>
  </r>
  <r>
    <n v="548"/>
    <x v="2"/>
    <x v="278"/>
    <x v="0"/>
    <x v="0"/>
    <n v="2.3287671232876712"/>
    <x v="0"/>
    <n v="7440"/>
    <n v="2.76"/>
    <n v="4.12"/>
    <n v="25"/>
  </r>
  <r>
    <n v="549"/>
    <x v="0"/>
    <x v="486"/>
    <x v="0"/>
    <x v="0"/>
    <n v="4.2109589041095887"/>
    <x v="0"/>
    <n v="7538"/>
    <n v="2.2000000000000002"/>
    <n v="3.38"/>
    <n v="0"/>
  </r>
  <r>
    <n v="550"/>
    <x v="5"/>
    <x v="436"/>
    <x v="0"/>
    <x v="0"/>
    <n v="4.5999999999999996"/>
    <x v="0"/>
    <n v="8898"/>
    <n v="2.52"/>
    <n v="3.27"/>
    <n v="28"/>
  </r>
  <r>
    <n v="551"/>
    <x v="1"/>
    <x v="487"/>
    <x v="0"/>
    <x v="0"/>
    <n v="6.6876712328767125"/>
    <x v="0"/>
    <n v="6961"/>
    <n v="4.3499999999999996"/>
    <n v="1.96"/>
    <n v="1"/>
  </r>
  <r>
    <n v="552"/>
    <x v="1"/>
    <x v="488"/>
    <x v="0"/>
    <x v="0"/>
    <n v="1.7178082191780821"/>
    <x v="0"/>
    <n v="10000"/>
    <n v="2.68"/>
    <n v="3.46"/>
    <n v="0"/>
  </r>
  <r>
    <n v="553"/>
    <x v="2"/>
    <x v="489"/>
    <x v="0"/>
    <x v="0"/>
    <n v="5.9397260273972599"/>
    <x v="0"/>
    <n v="9837"/>
    <n v="2.23"/>
    <n v="4.58"/>
    <n v="15"/>
  </r>
  <r>
    <n v="554"/>
    <x v="4"/>
    <x v="490"/>
    <x v="0"/>
    <x v="0"/>
    <n v="2.3342465753424659"/>
    <x v="0"/>
    <n v="7624"/>
    <n v="4.5"/>
    <n v="2.4300000000000002"/>
    <n v="12"/>
  </r>
  <r>
    <n v="555"/>
    <x v="3"/>
    <x v="347"/>
    <x v="135"/>
    <x v="1"/>
    <n v="0.60821917808219184"/>
    <x v="6"/>
    <n v="10693"/>
    <n v="4.47"/>
    <n v="2.54"/>
    <n v="16"/>
  </r>
  <r>
    <n v="556"/>
    <x v="5"/>
    <x v="491"/>
    <x v="0"/>
    <x v="0"/>
    <n v="2.4"/>
    <x v="0"/>
    <n v="12275"/>
    <n v="4.05"/>
    <n v="3.13"/>
    <n v="25"/>
  </r>
  <r>
    <n v="557"/>
    <x v="2"/>
    <x v="252"/>
    <x v="136"/>
    <x v="1"/>
    <n v="2.5178082191780824"/>
    <x v="1"/>
    <n v="14795"/>
    <n v="3.86"/>
    <n v="2.33"/>
    <n v="24"/>
  </r>
  <r>
    <n v="558"/>
    <x v="0"/>
    <x v="492"/>
    <x v="0"/>
    <x v="0"/>
    <n v="4.9369863013698634"/>
    <x v="0"/>
    <n v="14142"/>
    <n v="3.84"/>
    <n v="4.75"/>
    <n v="11"/>
  </r>
  <r>
    <n v="559"/>
    <x v="5"/>
    <x v="493"/>
    <x v="0"/>
    <x v="0"/>
    <n v="1.4876712328767123"/>
    <x v="0"/>
    <n v="13130"/>
    <n v="4.82"/>
    <n v="1.19"/>
    <n v="23"/>
  </r>
  <r>
    <n v="560"/>
    <x v="4"/>
    <x v="494"/>
    <x v="0"/>
    <x v="0"/>
    <n v="4.9232876712328766"/>
    <x v="0"/>
    <n v="14590"/>
    <n v="3.06"/>
    <n v="2.65"/>
    <n v="25"/>
  </r>
  <r>
    <n v="561"/>
    <x v="0"/>
    <x v="495"/>
    <x v="0"/>
    <x v="0"/>
    <n v="6.2986301369863016"/>
    <x v="0"/>
    <n v="10023"/>
    <n v="3.67"/>
    <n v="1.1200000000000001"/>
    <n v="15"/>
  </r>
  <r>
    <n v="562"/>
    <x v="0"/>
    <x v="496"/>
    <x v="0"/>
    <x v="0"/>
    <n v="3.9917808219178084"/>
    <x v="0"/>
    <n v="12499"/>
    <n v="2.29"/>
    <n v="2.27"/>
    <n v="14"/>
  </r>
  <r>
    <n v="563"/>
    <x v="4"/>
    <x v="497"/>
    <x v="0"/>
    <x v="0"/>
    <n v="3.2301369863013698"/>
    <x v="0"/>
    <n v="6558"/>
    <n v="4.8"/>
    <n v="4.67"/>
    <n v="9"/>
  </r>
  <r>
    <n v="564"/>
    <x v="5"/>
    <x v="498"/>
    <x v="0"/>
    <x v="0"/>
    <n v="3.5643835616438357"/>
    <x v="0"/>
    <n v="5845"/>
    <n v="4.03"/>
    <n v="2.71"/>
    <n v="27"/>
  </r>
  <r>
    <n v="565"/>
    <x v="3"/>
    <x v="499"/>
    <x v="0"/>
    <x v="0"/>
    <n v="4.4383561643835616"/>
    <x v="0"/>
    <n v="9316"/>
    <n v="4.83"/>
    <n v="1.95"/>
    <n v="11"/>
  </r>
  <r>
    <n v="566"/>
    <x v="3"/>
    <x v="52"/>
    <x v="0"/>
    <x v="0"/>
    <n v="6.8219178082191778"/>
    <x v="0"/>
    <n v="11479"/>
    <n v="3.64"/>
    <n v="2.1"/>
    <n v="9"/>
  </r>
  <r>
    <n v="567"/>
    <x v="5"/>
    <x v="500"/>
    <x v="0"/>
    <x v="0"/>
    <n v="5.183561643835616"/>
    <x v="0"/>
    <n v="8960"/>
    <n v="4.9000000000000004"/>
    <n v="2.58"/>
    <n v="8"/>
  </r>
  <r>
    <n v="568"/>
    <x v="3"/>
    <x v="270"/>
    <x v="0"/>
    <x v="0"/>
    <n v="4.1424657534246574"/>
    <x v="0"/>
    <n v="13693"/>
    <n v="3.15"/>
    <n v="3.48"/>
    <n v="12"/>
  </r>
  <r>
    <n v="569"/>
    <x v="5"/>
    <x v="501"/>
    <x v="137"/>
    <x v="1"/>
    <n v="0.56438356164383563"/>
    <x v="1"/>
    <n v="10483"/>
    <n v="3.29"/>
    <n v="2.2200000000000002"/>
    <n v="8"/>
  </r>
  <r>
    <n v="570"/>
    <x v="5"/>
    <x v="502"/>
    <x v="0"/>
    <x v="0"/>
    <n v="6.8986301369863012"/>
    <x v="0"/>
    <n v="3124"/>
    <n v="3.64"/>
    <n v="2.67"/>
    <n v="27"/>
  </r>
  <r>
    <n v="571"/>
    <x v="4"/>
    <x v="503"/>
    <x v="0"/>
    <x v="0"/>
    <n v="4.4821917808219176"/>
    <x v="0"/>
    <n v="4609"/>
    <n v="3.18"/>
    <n v="1.4"/>
    <n v="8"/>
  </r>
  <r>
    <n v="572"/>
    <x v="5"/>
    <x v="504"/>
    <x v="0"/>
    <x v="0"/>
    <n v="5.8547945205479452"/>
    <x v="0"/>
    <n v="11307"/>
    <n v="2.7"/>
    <n v="4.32"/>
    <n v="21"/>
  </r>
  <r>
    <n v="573"/>
    <x v="4"/>
    <x v="505"/>
    <x v="138"/>
    <x v="1"/>
    <n v="3.3287671232876712"/>
    <x v="2"/>
    <n v="5941"/>
    <n v="3.26"/>
    <n v="1.2"/>
    <n v="10"/>
  </r>
  <r>
    <n v="574"/>
    <x v="5"/>
    <x v="506"/>
    <x v="0"/>
    <x v="0"/>
    <n v="6.3342465753424655"/>
    <x v="0"/>
    <n v="4553"/>
    <n v="4.84"/>
    <n v="4.13"/>
    <n v="10"/>
  </r>
  <r>
    <n v="575"/>
    <x v="2"/>
    <x v="507"/>
    <x v="0"/>
    <x v="0"/>
    <n v="4.4273972602739722"/>
    <x v="0"/>
    <n v="3075"/>
    <n v="2.02"/>
    <n v="1.25"/>
    <n v="26"/>
  </r>
  <r>
    <n v="576"/>
    <x v="3"/>
    <x v="419"/>
    <x v="0"/>
    <x v="0"/>
    <n v="7.9616438356164387"/>
    <x v="0"/>
    <n v="7670"/>
    <n v="4.5"/>
    <n v="4.22"/>
    <n v="28"/>
  </r>
  <r>
    <n v="577"/>
    <x v="1"/>
    <x v="508"/>
    <x v="0"/>
    <x v="0"/>
    <n v="4.0191780821917806"/>
    <x v="0"/>
    <n v="14220"/>
    <n v="2.58"/>
    <n v="1.2"/>
    <n v="14"/>
  </r>
  <r>
    <n v="578"/>
    <x v="3"/>
    <x v="509"/>
    <x v="139"/>
    <x v="1"/>
    <n v="0.75342465753424659"/>
    <x v="1"/>
    <n v="14926"/>
    <n v="2.15"/>
    <n v="2.97"/>
    <n v="4"/>
  </r>
  <r>
    <n v="579"/>
    <x v="1"/>
    <x v="510"/>
    <x v="0"/>
    <x v="0"/>
    <n v="6.6438356164383565"/>
    <x v="0"/>
    <n v="8555"/>
    <n v="4.42"/>
    <n v="4.04"/>
    <n v="19"/>
  </r>
  <r>
    <n v="580"/>
    <x v="4"/>
    <x v="511"/>
    <x v="0"/>
    <x v="0"/>
    <n v="5.9424657534246572"/>
    <x v="0"/>
    <n v="7933"/>
    <n v="2.38"/>
    <n v="1.69"/>
    <n v="21"/>
  </r>
  <r>
    <n v="581"/>
    <x v="0"/>
    <x v="512"/>
    <x v="0"/>
    <x v="0"/>
    <n v="3.9068493150684933"/>
    <x v="0"/>
    <n v="4810"/>
    <n v="3.92"/>
    <n v="2.04"/>
    <n v="21"/>
  </r>
  <r>
    <n v="582"/>
    <x v="1"/>
    <x v="513"/>
    <x v="0"/>
    <x v="0"/>
    <n v="7.7397260273972606"/>
    <x v="0"/>
    <n v="10910"/>
    <n v="4.63"/>
    <n v="4.16"/>
    <n v="19"/>
  </r>
  <r>
    <n v="583"/>
    <x v="1"/>
    <x v="239"/>
    <x v="0"/>
    <x v="0"/>
    <n v="8.131506849315068"/>
    <x v="0"/>
    <n v="6121"/>
    <n v="4.21"/>
    <n v="2.44"/>
    <n v="25"/>
  </r>
  <r>
    <n v="584"/>
    <x v="1"/>
    <x v="514"/>
    <x v="0"/>
    <x v="0"/>
    <n v="5.484931506849315"/>
    <x v="0"/>
    <n v="8929"/>
    <n v="2.35"/>
    <n v="1.68"/>
    <n v="2"/>
  </r>
  <r>
    <n v="585"/>
    <x v="0"/>
    <x v="515"/>
    <x v="0"/>
    <x v="0"/>
    <n v="6.7863013698630139"/>
    <x v="0"/>
    <n v="5462"/>
    <n v="3.86"/>
    <n v="2.64"/>
    <n v="1"/>
  </r>
  <r>
    <n v="586"/>
    <x v="4"/>
    <x v="516"/>
    <x v="0"/>
    <x v="0"/>
    <n v="3.8849315068493149"/>
    <x v="0"/>
    <n v="8983"/>
    <n v="4.8"/>
    <n v="3.76"/>
    <n v="0"/>
  </r>
  <r>
    <n v="587"/>
    <x v="0"/>
    <x v="517"/>
    <x v="0"/>
    <x v="0"/>
    <n v="7.2082191780821914"/>
    <x v="0"/>
    <n v="13243"/>
    <n v="2.76"/>
    <n v="2.88"/>
    <n v="10"/>
  </r>
  <r>
    <n v="588"/>
    <x v="4"/>
    <x v="518"/>
    <x v="140"/>
    <x v="1"/>
    <n v="1.7643835616438357"/>
    <x v="11"/>
    <n v="7654"/>
    <n v="2.76"/>
    <n v="4.46"/>
    <n v="11"/>
  </r>
  <r>
    <n v="589"/>
    <x v="5"/>
    <x v="519"/>
    <x v="0"/>
    <x v="0"/>
    <n v="4.3726027397260276"/>
    <x v="0"/>
    <n v="14559"/>
    <n v="2.41"/>
    <n v="1.61"/>
    <n v="26"/>
  </r>
  <r>
    <n v="590"/>
    <x v="2"/>
    <x v="520"/>
    <x v="0"/>
    <x v="0"/>
    <n v="2.8657534246575342"/>
    <x v="0"/>
    <n v="10984"/>
    <n v="3.29"/>
    <n v="2.1"/>
    <n v="24"/>
  </r>
  <r>
    <n v="591"/>
    <x v="2"/>
    <x v="498"/>
    <x v="0"/>
    <x v="0"/>
    <n v="3.5643835616438357"/>
    <x v="0"/>
    <n v="11635"/>
    <n v="3.98"/>
    <n v="3.61"/>
    <n v="14"/>
  </r>
  <r>
    <n v="592"/>
    <x v="0"/>
    <x v="158"/>
    <x v="0"/>
    <x v="0"/>
    <n v="3.1616438356164385"/>
    <x v="0"/>
    <n v="10701"/>
    <n v="2.34"/>
    <n v="4.99"/>
    <n v="25"/>
  </r>
  <r>
    <n v="593"/>
    <x v="1"/>
    <x v="521"/>
    <x v="0"/>
    <x v="0"/>
    <n v="2.0082191780821916"/>
    <x v="0"/>
    <n v="8543"/>
    <n v="3.87"/>
    <n v="4.2300000000000004"/>
    <n v="15"/>
  </r>
  <r>
    <n v="594"/>
    <x v="1"/>
    <x v="522"/>
    <x v="0"/>
    <x v="0"/>
    <n v="1.4219178082191781"/>
    <x v="0"/>
    <n v="7673"/>
    <n v="2.52"/>
    <n v="2.1800000000000002"/>
    <n v="24"/>
  </r>
  <r>
    <n v="595"/>
    <x v="0"/>
    <x v="523"/>
    <x v="141"/>
    <x v="1"/>
    <n v="2.6712328767123288"/>
    <x v="11"/>
    <n v="11718"/>
    <n v="3.69"/>
    <n v="3"/>
    <n v="9"/>
  </r>
  <r>
    <n v="596"/>
    <x v="0"/>
    <x v="524"/>
    <x v="0"/>
    <x v="0"/>
    <n v="6.493150684931507"/>
    <x v="0"/>
    <n v="10825"/>
    <n v="4.59"/>
    <n v="1.6"/>
    <n v="5"/>
  </r>
  <r>
    <n v="597"/>
    <x v="1"/>
    <x v="525"/>
    <x v="0"/>
    <x v="0"/>
    <n v="2.9945205479452053"/>
    <x v="0"/>
    <n v="10189"/>
    <n v="4.7"/>
    <n v="4.17"/>
    <n v="0"/>
  </r>
  <r>
    <n v="598"/>
    <x v="1"/>
    <x v="526"/>
    <x v="142"/>
    <x v="1"/>
    <n v="3.8958904109589043"/>
    <x v="5"/>
    <n v="10697"/>
    <n v="4.2699999999999996"/>
    <n v="1.33"/>
    <n v="4"/>
  </r>
  <r>
    <n v="599"/>
    <x v="5"/>
    <x v="527"/>
    <x v="0"/>
    <x v="0"/>
    <n v="3.6328767123287671"/>
    <x v="0"/>
    <n v="8581"/>
    <n v="4.05"/>
    <n v="4.6100000000000003"/>
    <n v="22"/>
  </r>
  <r>
    <n v="600"/>
    <x v="3"/>
    <x v="528"/>
    <x v="0"/>
    <x v="0"/>
    <n v="6.2301369863013702"/>
    <x v="0"/>
    <n v="8919"/>
    <n v="3.38"/>
    <n v="3"/>
    <n v="4"/>
  </r>
  <r>
    <n v="601"/>
    <x v="1"/>
    <x v="529"/>
    <x v="0"/>
    <x v="0"/>
    <n v="2.7561643835616438"/>
    <x v="0"/>
    <n v="9998"/>
    <n v="2.35"/>
    <n v="1"/>
    <n v="2"/>
  </r>
  <r>
    <n v="602"/>
    <x v="5"/>
    <x v="530"/>
    <x v="0"/>
    <x v="0"/>
    <n v="3.7726027397260276"/>
    <x v="0"/>
    <n v="8960"/>
    <n v="4.55"/>
    <n v="4.83"/>
    <n v="2"/>
  </r>
  <r>
    <n v="603"/>
    <x v="0"/>
    <x v="531"/>
    <x v="143"/>
    <x v="1"/>
    <n v="0.79726027397260268"/>
    <x v="5"/>
    <n v="3325"/>
    <n v="4"/>
    <n v="4.96"/>
    <n v="26"/>
  </r>
  <r>
    <n v="604"/>
    <x v="4"/>
    <x v="46"/>
    <x v="0"/>
    <x v="0"/>
    <n v="4.882191780821918"/>
    <x v="0"/>
    <n v="10754"/>
    <n v="3.21"/>
    <n v="1.35"/>
    <n v="15"/>
  </r>
  <r>
    <n v="605"/>
    <x v="3"/>
    <x v="532"/>
    <x v="144"/>
    <x v="1"/>
    <n v="3.3671232876712329"/>
    <x v="4"/>
    <n v="4986"/>
    <n v="2.92"/>
    <n v="2.61"/>
    <n v="28"/>
  </r>
  <r>
    <n v="606"/>
    <x v="0"/>
    <x v="116"/>
    <x v="145"/>
    <x v="1"/>
    <n v="3.0410958904109591"/>
    <x v="11"/>
    <n v="8231"/>
    <n v="2.38"/>
    <n v="3.31"/>
    <n v="11"/>
  </r>
  <r>
    <n v="607"/>
    <x v="1"/>
    <x v="533"/>
    <x v="0"/>
    <x v="0"/>
    <n v="4.4301369863013695"/>
    <x v="0"/>
    <n v="6144"/>
    <n v="4.9800000000000004"/>
    <n v="1.37"/>
    <n v="10"/>
  </r>
  <r>
    <n v="608"/>
    <x v="1"/>
    <x v="445"/>
    <x v="0"/>
    <x v="0"/>
    <n v="5.8986301369863012"/>
    <x v="0"/>
    <n v="6512"/>
    <n v="3.85"/>
    <n v="4.4000000000000004"/>
    <n v="18"/>
  </r>
  <r>
    <n v="609"/>
    <x v="2"/>
    <x v="534"/>
    <x v="0"/>
    <x v="0"/>
    <n v="2.4246575342465753"/>
    <x v="0"/>
    <n v="3857"/>
    <n v="3.76"/>
    <n v="3.17"/>
    <n v="19"/>
  </r>
  <r>
    <n v="610"/>
    <x v="5"/>
    <x v="535"/>
    <x v="0"/>
    <x v="0"/>
    <n v="6.0164383561643833"/>
    <x v="0"/>
    <n v="7875"/>
    <n v="2.14"/>
    <n v="2.1800000000000002"/>
    <n v="10"/>
  </r>
  <r>
    <n v="611"/>
    <x v="5"/>
    <x v="536"/>
    <x v="0"/>
    <x v="0"/>
    <n v="5.0027397260273974"/>
    <x v="0"/>
    <n v="6346"/>
    <n v="2.92"/>
    <n v="3.45"/>
    <n v="0"/>
  </r>
  <r>
    <n v="612"/>
    <x v="5"/>
    <x v="537"/>
    <x v="146"/>
    <x v="1"/>
    <n v="2.504109589041096"/>
    <x v="2"/>
    <n v="6957"/>
    <n v="4.72"/>
    <n v="4.99"/>
    <n v="11"/>
  </r>
  <r>
    <n v="613"/>
    <x v="3"/>
    <x v="538"/>
    <x v="0"/>
    <x v="0"/>
    <n v="3.4164383561643836"/>
    <x v="0"/>
    <n v="11106"/>
    <n v="4.2"/>
    <n v="4.7"/>
    <n v="12"/>
  </r>
  <r>
    <n v="614"/>
    <x v="3"/>
    <x v="539"/>
    <x v="147"/>
    <x v="1"/>
    <n v="2.5095890410958903"/>
    <x v="5"/>
    <n v="6637"/>
    <n v="3.19"/>
    <n v="4.03"/>
    <n v="13"/>
  </r>
  <r>
    <n v="615"/>
    <x v="1"/>
    <x v="540"/>
    <x v="0"/>
    <x v="0"/>
    <n v="6.1671232876712327"/>
    <x v="0"/>
    <n v="10382"/>
    <n v="3.74"/>
    <n v="2.38"/>
    <n v="24"/>
  </r>
  <r>
    <n v="616"/>
    <x v="5"/>
    <x v="159"/>
    <x v="0"/>
    <x v="0"/>
    <n v="6.4986301369863018"/>
    <x v="0"/>
    <n v="10008"/>
    <n v="3.97"/>
    <n v="4.99"/>
    <n v="15"/>
  </r>
  <r>
    <n v="617"/>
    <x v="1"/>
    <x v="541"/>
    <x v="0"/>
    <x v="0"/>
    <n v="1.7095890410958905"/>
    <x v="0"/>
    <n v="6164"/>
    <n v="4.96"/>
    <n v="1"/>
    <n v="26"/>
  </r>
  <r>
    <n v="618"/>
    <x v="3"/>
    <x v="346"/>
    <x v="0"/>
    <x v="0"/>
    <n v="6.5890410958904111"/>
    <x v="0"/>
    <n v="11435"/>
    <n v="3.24"/>
    <n v="3.92"/>
    <n v="16"/>
  </r>
  <r>
    <n v="619"/>
    <x v="4"/>
    <x v="542"/>
    <x v="148"/>
    <x v="1"/>
    <n v="2.1041095890410957"/>
    <x v="8"/>
    <n v="4464"/>
    <n v="3.2"/>
    <n v="2.35"/>
    <n v="0"/>
  </r>
  <r>
    <n v="620"/>
    <x v="1"/>
    <x v="543"/>
    <x v="0"/>
    <x v="0"/>
    <n v="6.117808219178082"/>
    <x v="0"/>
    <n v="8960"/>
    <n v="4.09"/>
    <n v="1.86"/>
    <n v="6"/>
  </r>
  <r>
    <n v="621"/>
    <x v="4"/>
    <x v="157"/>
    <x v="0"/>
    <x v="0"/>
    <n v="5.1205479452054794"/>
    <x v="0"/>
    <n v="7386"/>
    <n v="2.89"/>
    <n v="3.12"/>
    <n v="10"/>
  </r>
  <r>
    <n v="622"/>
    <x v="3"/>
    <x v="544"/>
    <x v="0"/>
    <x v="0"/>
    <n v="4.0849315068493155"/>
    <x v="0"/>
    <n v="8275"/>
    <n v="2.4500000000000002"/>
    <n v="2.73"/>
    <n v="3"/>
  </r>
  <r>
    <n v="623"/>
    <x v="3"/>
    <x v="220"/>
    <x v="0"/>
    <x v="0"/>
    <n v="7.1890410958904107"/>
    <x v="0"/>
    <n v="11111"/>
    <n v="2.2400000000000002"/>
    <n v="2.91"/>
    <n v="11"/>
  </r>
  <r>
    <n v="624"/>
    <x v="1"/>
    <x v="545"/>
    <x v="149"/>
    <x v="1"/>
    <n v="3.2493150684931509"/>
    <x v="1"/>
    <n v="3692"/>
    <n v="2.97"/>
    <n v="4.95"/>
    <n v="25"/>
  </r>
  <r>
    <n v="625"/>
    <x v="3"/>
    <x v="546"/>
    <x v="0"/>
    <x v="0"/>
    <n v="2.9589041095890409"/>
    <x v="0"/>
    <n v="8960"/>
    <n v="3.55"/>
    <n v="3.32"/>
    <n v="4"/>
  </r>
  <r>
    <n v="626"/>
    <x v="2"/>
    <x v="547"/>
    <x v="0"/>
    <x v="0"/>
    <n v="4.816438356164384"/>
    <x v="0"/>
    <n v="5080"/>
    <n v="3.85"/>
    <n v="2.37"/>
    <n v="21"/>
  </r>
  <r>
    <n v="627"/>
    <x v="0"/>
    <x v="548"/>
    <x v="0"/>
    <x v="0"/>
    <n v="7.9671232876712326"/>
    <x v="0"/>
    <n v="4184"/>
    <n v="3.83"/>
    <n v="1.1000000000000001"/>
    <n v="11"/>
  </r>
  <r>
    <n v="628"/>
    <x v="5"/>
    <x v="549"/>
    <x v="0"/>
    <x v="0"/>
    <n v="2.8986301369863012"/>
    <x v="0"/>
    <n v="12350"/>
    <n v="2.65"/>
    <n v="2.77"/>
    <n v="26"/>
  </r>
  <r>
    <n v="629"/>
    <x v="5"/>
    <x v="550"/>
    <x v="0"/>
    <x v="0"/>
    <n v="6.8767123287671232"/>
    <x v="0"/>
    <n v="7675"/>
    <n v="3.51"/>
    <n v="1.27"/>
    <n v="1"/>
  </r>
  <r>
    <n v="630"/>
    <x v="3"/>
    <x v="551"/>
    <x v="150"/>
    <x v="1"/>
    <n v="3.8219178082191783"/>
    <x v="8"/>
    <n v="12641"/>
    <n v="3.24"/>
    <n v="4.83"/>
    <n v="13"/>
  </r>
  <r>
    <n v="631"/>
    <x v="1"/>
    <x v="552"/>
    <x v="0"/>
    <x v="0"/>
    <n v="5.9479452054794519"/>
    <x v="0"/>
    <n v="12846"/>
    <n v="4.46"/>
    <n v="4.3"/>
    <n v="4"/>
  </r>
  <r>
    <n v="632"/>
    <x v="5"/>
    <x v="553"/>
    <x v="151"/>
    <x v="1"/>
    <n v="2.547945205479452"/>
    <x v="3"/>
    <n v="4353"/>
    <n v="3.88"/>
    <n v="1.05"/>
    <n v="2"/>
  </r>
  <r>
    <n v="633"/>
    <x v="1"/>
    <x v="554"/>
    <x v="0"/>
    <x v="0"/>
    <n v="4.6219178082191785"/>
    <x v="0"/>
    <n v="11220"/>
    <n v="3.19"/>
    <n v="3.05"/>
    <n v="18"/>
  </r>
  <r>
    <n v="634"/>
    <x v="2"/>
    <x v="41"/>
    <x v="152"/>
    <x v="1"/>
    <n v="2.6630136986301371"/>
    <x v="2"/>
    <n v="11531"/>
    <n v="2.08"/>
    <n v="3.21"/>
    <n v="15"/>
  </r>
  <r>
    <n v="635"/>
    <x v="4"/>
    <x v="555"/>
    <x v="0"/>
    <x v="0"/>
    <n v="3.3041095890410959"/>
    <x v="0"/>
    <n v="6899"/>
    <n v="4.75"/>
    <n v="4.1100000000000003"/>
    <n v="1"/>
  </r>
  <r>
    <n v="636"/>
    <x v="4"/>
    <x v="556"/>
    <x v="0"/>
    <x v="0"/>
    <n v="5.7643835616438359"/>
    <x v="0"/>
    <n v="8960"/>
    <n v="4.53"/>
    <n v="2.19"/>
    <n v="24"/>
  </r>
  <r>
    <n v="637"/>
    <x v="4"/>
    <x v="557"/>
    <x v="153"/>
    <x v="1"/>
    <n v="2.0767123287671234"/>
    <x v="1"/>
    <n v="14728"/>
    <n v="4.04"/>
    <n v="1.66"/>
    <n v="22"/>
  </r>
  <r>
    <n v="638"/>
    <x v="0"/>
    <x v="420"/>
    <x v="95"/>
    <x v="1"/>
    <n v="3.5972602739726027"/>
    <x v="1"/>
    <n v="8960"/>
    <n v="2.27"/>
    <n v="2.14"/>
    <n v="26"/>
  </r>
  <r>
    <n v="639"/>
    <x v="4"/>
    <x v="558"/>
    <x v="0"/>
    <x v="0"/>
    <n v="3.5397260273972604"/>
    <x v="0"/>
    <n v="5226"/>
    <n v="3.24"/>
    <n v="3.61"/>
    <n v="27"/>
  </r>
  <r>
    <n v="640"/>
    <x v="3"/>
    <x v="559"/>
    <x v="0"/>
    <x v="0"/>
    <n v="5.7726027397260271"/>
    <x v="0"/>
    <n v="8960"/>
    <n v="3.65"/>
    <n v="4.8499999999999996"/>
    <n v="6"/>
  </r>
  <r>
    <n v="641"/>
    <x v="0"/>
    <x v="560"/>
    <x v="0"/>
    <x v="0"/>
    <n v="7.6767123287671231"/>
    <x v="0"/>
    <n v="10876"/>
    <n v="4.3899999999999997"/>
    <n v="3.71"/>
    <n v="22"/>
  </r>
  <r>
    <n v="642"/>
    <x v="1"/>
    <x v="561"/>
    <x v="0"/>
    <x v="0"/>
    <n v="3.7178082191780821"/>
    <x v="0"/>
    <n v="3494"/>
    <n v="3.94"/>
    <n v="4.38"/>
    <n v="6"/>
  </r>
  <r>
    <n v="643"/>
    <x v="3"/>
    <x v="562"/>
    <x v="0"/>
    <x v="0"/>
    <n v="5.580821917808219"/>
    <x v="0"/>
    <n v="12643"/>
    <n v="4.22"/>
    <n v="3.45"/>
    <n v="23"/>
  </r>
  <r>
    <n v="644"/>
    <x v="2"/>
    <x v="563"/>
    <x v="154"/>
    <x v="1"/>
    <n v="2.558904109589041"/>
    <x v="4"/>
    <n v="9219"/>
    <n v="3.74"/>
    <n v="4.33"/>
    <n v="26"/>
  </r>
  <r>
    <n v="645"/>
    <x v="3"/>
    <x v="564"/>
    <x v="0"/>
    <x v="0"/>
    <n v="5.506849315068493"/>
    <x v="0"/>
    <n v="8296"/>
    <n v="3.96"/>
    <n v="2.84"/>
    <n v="5"/>
  </r>
  <r>
    <n v="646"/>
    <x v="1"/>
    <x v="230"/>
    <x v="0"/>
    <x v="0"/>
    <n v="7.7232876712328764"/>
    <x v="0"/>
    <n v="9453"/>
    <n v="4.3099999999999996"/>
    <n v="4.9800000000000004"/>
    <n v="7"/>
  </r>
  <r>
    <n v="647"/>
    <x v="3"/>
    <x v="565"/>
    <x v="0"/>
    <x v="0"/>
    <n v="6.3397260273972602"/>
    <x v="0"/>
    <n v="7180"/>
    <n v="3.23"/>
    <n v="2.42"/>
    <n v="18"/>
  </r>
  <r>
    <n v="648"/>
    <x v="5"/>
    <x v="566"/>
    <x v="0"/>
    <x v="0"/>
    <n v="3.1726027397260275"/>
    <x v="0"/>
    <n v="8014"/>
    <n v="3.05"/>
    <n v="1.98"/>
    <n v="20"/>
  </r>
  <r>
    <n v="649"/>
    <x v="5"/>
    <x v="567"/>
    <x v="0"/>
    <x v="0"/>
    <n v="2.7342465753424658"/>
    <x v="0"/>
    <n v="7908"/>
    <n v="4.4800000000000004"/>
    <n v="2.02"/>
    <n v="6"/>
  </r>
  <r>
    <n v="650"/>
    <x v="1"/>
    <x v="568"/>
    <x v="155"/>
    <x v="1"/>
    <n v="0.40273972602739727"/>
    <x v="11"/>
    <n v="13586"/>
    <n v="3.7"/>
    <n v="4.18"/>
    <n v="25"/>
  </r>
  <r>
    <n v="651"/>
    <x v="0"/>
    <x v="323"/>
    <x v="0"/>
    <x v="0"/>
    <n v="3.4438356164383563"/>
    <x v="0"/>
    <n v="14440"/>
    <n v="3.26"/>
    <n v="3.4"/>
    <n v="8"/>
  </r>
  <r>
    <n v="652"/>
    <x v="2"/>
    <x v="569"/>
    <x v="0"/>
    <x v="0"/>
    <n v="1.8630136986301369"/>
    <x v="0"/>
    <n v="12713"/>
    <n v="2.73"/>
    <n v="1.37"/>
    <n v="10"/>
  </r>
  <r>
    <n v="653"/>
    <x v="5"/>
    <x v="570"/>
    <x v="0"/>
    <x v="0"/>
    <n v="2.5534246575342467"/>
    <x v="0"/>
    <n v="8622"/>
    <n v="2.09"/>
    <n v="3.86"/>
    <n v="19"/>
  </r>
  <r>
    <n v="654"/>
    <x v="0"/>
    <x v="571"/>
    <x v="0"/>
    <x v="0"/>
    <n v="1.5178082191780822"/>
    <x v="0"/>
    <n v="4058"/>
    <n v="2.0699999999999998"/>
    <n v="4.45"/>
    <n v="10"/>
  </r>
  <r>
    <n v="655"/>
    <x v="2"/>
    <x v="572"/>
    <x v="0"/>
    <x v="0"/>
    <n v="8.0602739726027401"/>
    <x v="0"/>
    <n v="3220"/>
    <n v="4.25"/>
    <n v="4.6500000000000004"/>
    <n v="0"/>
  </r>
  <r>
    <n v="656"/>
    <x v="4"/>
    <x v="573"/>
    <x v="0"/>
    <x v="0"/>
    <n v="4.1095890410958908"/>
    <x v="0"/>
    <n v="14169"/>
    <n v="3.15"/>
    <n v="2.74"/>
    <n v="12"/>
  </r>
  <r>
    <n v="657"/>
    <x v="2"/>
    <x v="574"/>
    <x v="0"/>
    <x v="0"/>
    <n v="3.2465753424657535"/>
    <x v="0"/>
    <n v="10237"/>
    <n v="2.2599999999999998"/>
    <n v="1.69"/>
    <n v="29"/>
  </r>
  <r>
    <n v="658"/>
    <x v="2"/>
    <x v="224"/>
    <x v="0"/>
    <x v="0"/>
    <n v="6.2904109589041095"/>
    <x v="0"/>
    <n v="8960"/>
    <n v="3.81"/>
    <n v="2.5499999999999998"/>
    <n v="7"/>
  </r>
  <r>
    <n v="659"/>
    <x v="4"/>
    <x v="195"/>
    <x v="0"/>
    <x v="0"/>
    <n v="6.6630136986301371"/>
    <x v="0"/>
    <n v="9297"/>
    <n v="2.46"/>
    <n v="4.54"/>
    <n v="22"/>
  </r>
  <r>
    <n v="660"/>
    <x v="2"/>
    <x v="536"/>
    <x v="0"/>
    <x v="0"/>
    <n v="5.0027397260273974"/>
    <x v="0"/>
    <n v="3622"/>
    <n v="4.99"/>
    <n v="3.88"/>
    <n v="8"/>
  </r>
  <r>
    <n v="661"/>
    <x v="3"/>
    <x v="289"/>
    <x v="156"/>
    <x v="1"/>
    <n v="3.7369863013698632"/>
    <x v="5"/>
    <n v="7616"/>
    <n v="4.71"/>
    <n v="1.1000000000000001"/>
    <n v="3"/>
  </r>
  <r>
    <n v="662"/>
    <x v="1"/>
    <x v="575"/>
    <x v="0"/>
    <x v="0"/>
    <n v="4.2383561643835614"/>
    <x v="0"/>
    <n v="3548"/>
    <n v="4.28"/>
    <n v="2.25"/>
    <n v="23"/>
  </r>
  <r>
    <n v="663"/>
    <x v="0"/>
    <x v="576"/>
    <x v="60"/>
    <x v="1"/>
    <n v="3.1397260273972605"/>
    <x v="3"/>
    <n v="4174"/>
    <n v="4.66"/>
    <n v="1.61"/>
    <n v="17"/>
  </r>
  <r>
    <n v="664"/>
    <x v="4"/>
    <x v="577"/>
    <x v="0"/>
    <x v="0"/>
    <n v="3.6"/>
    <x v="0"/>
    <n v="7588"/>
    <n v="3.73"/>
    <n v="1.83"/>
    <n v="5"/>
  </r>
  <r>
    <n v="665"/>
    <x v="5"/>
    <x v="453"/>
    <x v="0"/>
    <x v="0"/>
    <n v="7.8986301369863012"/>
    <x v="0"/>
    <n v="5933"/>
    <n v="3.19"/>
    <n v="1.03"/>
    <n v="29"/>
  </r>
  <r>
    <n v="666"/>
    <x v="4"/>
    <x v="578"/>
    <x v="0"/>
    <x v="0"/>
    <n v="7.6684931506849319"/>
    <x v="0"/>
    <n v="5371"/>
    <n v="4.3"/>
    <n v="1.57"/>
    <n v="18"/>
  </r>
  <r>
    <n v="667"/>
    <x v="3"/>
    <x v="71"/>
    <x v="157"/>
    <x v="1"/>
    <n v="1.9205479452054794"/>
    <x v="11"/>
    <n v="13544"/>
    <n v="2.33"/>
    <n v="1.99"/>
    <n v="27"/>
  </r>
  <r>
    <n v="668"/>
    <x v="5"/>
    <x v="579"/>
    <x v="0"/>
    <x v="0"/>
    <n v="4.2986301369863016"/>
    <x v="0"/>
    <n v="4577"/>
    <n v="4.6100000000000003"/>
    <n v="4.1399999999999997"/>
    <n v="3"/>
  </r>
  <r>
    <n v="669"/>
    <x v="2"/>
    <x v="580"/>
    <x v="0"/>
    <x v="0"/>
    <n v="6.6931506849315072"/>
    <x v="0"/>
    <n v="9358"/>
    <n v="2.16"/>
    <n v="3.68"/>
    <n v="10"/>
  </r>
  <r>
    <n v="670"/>
    <x v="5"/>
    <x v="581"/>
    <x v="0"/>
    <x v="0"/>
    <n v="6.2465753424657535"/>
    <x v="0"/>
    <n v="10037"/>
    <n v="4.58"/>
    <n v="1.55"/>
    <n v="25"/>
  </r>
  <r>
    <n v="671"/>
    <x v="3"/>
    <x v="582"/>
    <x v="0"/>
    <x v="0"/>
    <n v="2.473972602739726"/>
    <x v="0"/>
    <n v="12399"/>
    <n v="4.6100000000000003"/>
    <n v="2.16"/>
    <n v="21"/>
  </r>
  <r>
    <n v="672"/>
    <x v="4"/>
    <x v="583"/>
    <x v="158"/>
    <x v="1"/>
    <n v="1.4493150684931506"/>
    <x v="1"/>
    <n v="12836"/>
    <n v="4.03"/>
    <n v="2.0099999999999998"/>
    <n v="26"/>
  </r>
  <r>
    <n v="673"/>
    <x v="0"/>
    <x v="510"/>
    <x v="0"/>
    <x v="0"/>
    <n v="6.6438356164383565"/>
    <x v="0"/>
    <n v="3615"/>
    <n v="2.65"/>
    <n v="1.35"/>
    <n v="22"/>
  </r>
  <r>
    <n v="674"/>
    <x v="5"/>
    <x v="559"/>
    <x v="0"/>
    <x v="0"/>
    <n v="5.7726027397260271"/>
    <x v="0"/>
    <n v="8417"/>
    <n v="4.16"/>
    <n v="3.04"/>
    <n v="16"/>
  </r>
  <r>
    <n v="675"/>
    <x v="0"/>
    <x v="584"/>
    <x v="0"/>
    <x v="0"/>
    <n v="7.441095890410959"/>
    <x v="0"/>
    <n v="12775"/>
    <n v="2.3199999999999998"/>
    <n v="4.3600000000000003"/>
    <n v="15"/>
  </r>
  <r>
    <n v="676"/>
    <x v="4"/>
    <x v="585"/>
    <x v="0"/>
    <x v="0"/>
    <n v="3.1506849315068495"/>
    <x v="0"/>
    <n v="5939"/>
    <n v="3.22"/>
    <n v="4.55"/>
    <n v="14"/>
  </r>
  <r>
    <n v="677"/>
    <x v="5"/>
    <x v="586"/>
    <x v="0"/>
    <x v="0"/>
    <n v="6.1068493150684935"/>
    <x v="0"/>
    <n v="9414"/>
    <n v="4.09"/>
    <n v="3.52"/>
    <n v="12"/>
  </r>
  <r>
    <n v="678"/>
    <x v="0"/>
    <x v="276"/>
    <x v="0"/>
    <x v="0"/>
    <n v="1.6438356164383561"/>
    <x v="0"/>
    <n v="13143"/>
    <n v="2.66"/>
    <n v="1.22"/>
    <n v="14"/>
  </r>
  <r>
    <n v="679"/>
    <x v="4"/>
    <x v="587"/>
    <x v="0"/>
    <x v="0"/>
    <n v="6.6136986301369864"/>
    <x v="0"/>
    <n v="10265"/>
    <n v="2.1"/>
    <n v="1.49"/>
    <n v="24"/>
  </r>
  <r>
    <n v="680"/>
    <x v="5"/>
    <x v="588"/>
    <x v="0"/>
    <x v="0"/>
    <n v="7.4547945205479449"/>
    <x v="0"/>
    <n v="14831"/>
    <n v="3.23"/>
    <n v="4.2699999999999996"/>
    <n v="4"/>
  </r>
  <r>
    <n v="681"/>
    <x v="2"/>
    <x v="589"/>
    <x v="43"/>
    <x v="1"/>
    <n v="3.8876712328767122"/>
    <x v="8"/>
    <n v="6199"/>
    <n v="2.77"/>
    <n v="4.01"/>
    <n v="20"/>
  </r>
  <r>
    <n v="682"/>
    <x v="3"/>
    <x v="590"/>
    <x v="0"/>
    <x v="0"/>
    <n v="6.9890410958904106"/>
    <x v="0"/>
    <n v="13832"/>
    <n v="4.76"/>
    <n v="2.38"/>
    <n v="8"/>
  </r>
  <r>
    <n v="683"/>
    <x v="4"/>
    <x v="332"/>
    <x v="0"/>
    <x v="0"/>
    <n v="4.6904109589041099"/>
    <x v="0"/>
    <n v="9852"/>
    <n v="3.66"/>
    <n v="3.05"/>
    <n v="21"/>
  </r>
  <r>
    <n v="684"/>
    <x v="0"/>
    <x v="591"/>
    <x v="0"/>
    <x v="0"/>
    <n v="5.4657534246575343"/>
    <x v="0"/>
    <n v="12637"/>
    <n v="4.17"/>
    <n v="1.93"/>
    <n v="0"/>
  </r>
  <r>
    <n v="685"/>
    <x v="1"/>
    <x v="102"/>
    <x v="0"/>
    <x v="0"/>
    <n v="4.8438356164383558"/>
    <x v="0"/>
    <n v="13364"/>
    <n v="3.86"/>
    <n v="3.87"/>
    <n v="8"/>
  </r>
  <r>
    <n v="686"/>
    <x v="1"/>
    <x v="592"/>
    <x v="0"/>
    <x v="0"/>
    <n v="4.5315068493150683"/>
    <x v="0"/>
    <n v="14845"/>
    <n v="4.25"/>
    <n v="2.1"/>
    <n v="16"/>
  </r>
  <r>
    <n v="687"/>
    <x v="2"/>
    <x v="593"/>
    <x v="0"/>
    <x v="0"/>
    <n v="6.4328767123287669"/>
    <x v="0"/>
    <n v="5741"/>
    <n v="4.03"/>
    <n v="3.04"/>
    <n v="14"/>
  </r>
  <r>
    <n v="688"/>
    <x v="3"/>
    <x v="594"/>
    <x v="80"/>
    <x v="1"/>
    <n v="3.5287671232876714"/>
    <x v="2"/>
    <n v="8960"/>
    <n v="2.11"/>
    <n v="4.2300000000000004"/>
    <n v="17"/>
  </r>
  <r>
    <n v="689"/>
    <x v="3"/>
    <x v="595"/>
    <x v="159"/>
    <x v="1"/>
    <n v="2.8027397260273972"/>
    <x v="4"/>
    <n v="7565"/>
    <n v="3.2"/>
    <n v="4.45"/>
    <n v="28"/>
  </r>
  <r>
    <n v="690"/>
    <x v="3"/>
    <x v="596"/>
    <x v="0"/>
    <x v="0"/>
    <n v="1.9698630136986301"/>
    <x v="0"/>
    <n v="8960"/>
    <n v="2.7"/>
    <n v="4.28"/>
    <n v="19"/>
  </r>
  <r>
    <n v="691"/>
    <x v="3"/>
    <x v="597"/>
    <x v="160"/>
    <x v="1"/>
    <n v="2.9452054794520546"/>
    <x v="2"/>
    <n v="3240"/>
    <n v="2.5499999999999998"/>
    <n v="2.71"/>
    <n v="24"/>
  </r>
  <r>
    <n v="692"/>
    <x v="5"/>
    <x v="598"/>
    <x v="0"/>
    <x v="0"/>
    <n v="1.832876712328767"/>
    <x v="0"/>
    <n v="9429"/>
    <n v="4.42"/>
    <n v="3.95"/>
    <n v="9"/>
  </r>
  <r>
    <n v="693"/>
    <x v="3"/>
    <x v="297"/>
    <x v="0"/>
    <x v="0"/>
    <n v="5.7945205479452051"/>
    <x v="0"/>
    <n v="5159"/>
    <n v="2.94"/>
    <n v="3.7"/>
    <n v="14"/>
  </r>
  <r>
    <n v="694"/>
    <x v="3"/>
    <x v="599"/>
    <x v="161"/>
    <x v="1"/>
    <n v="4.0383561643835613"/>
    <x v="1"/>
    <n v="4910"/>
    <n v="4.7300000000000004"/>
    <n v="1.76"/>
    <n v="19"/>
  </r>
  <r>
    <n v="695"/>
    <x v="3"/>
    <x v="82"/>
    <x v="162"/>
    <x v="1"/>
    <n v="1.5671232876712329"/>
    <x v="6"/>
    <n v="13148"/>
    <n v="4.21"/>
    <n v="1.56"/>
    <n v="26"/>
  </r>
  <r>
    <n v="696"/>
    <x v="2"/>
    <x v="419"/>
    <x v="163"/>
    <x v="1"/>
    <n v="1.0027397260273974"/>
    <x v="6"/>
    <n v="5895"/>
    <n v="3.51"/>
    <n v="1.06"/>
    <n v="26"/>
  </r>
  <r>
    <n v="697"/>
    <x v="1"/>
    <x v="600"/>
    <x v="164"/>
    <x v="1"/>
    <n v="3.1671232876712327"/>
    <x v="4"/>
    <n v="6398"/>
    <n v="4.8600000000000003"/>
    <n v="4.0199999999999996"/>
    <n v="15"/>
  </r>
  <r>
    <n v="698"/>
    <x v="5"/>
    <x v="601"/>
    <x v="0"/>
    <x v="0"/>
    <n v="6.1369863013698627"/>
    <x v="0"/>
    <n v="3001"/>
    <n v="3.51"/>
    <n v="4.1900000000000004"/>
    <n v="8"/>
  </r>
  <r>
    <n v="699"/>
    <x v="3"/>
    <x v="602"/>
    <x v="0"/>
    <x v="0"/>
    <n v="7.6876712328767125"/>
    <x v="0"/>
    <n v="7846"/>
    <n v="3.13"/>
    <n v="2.65"/>
    <n v="22"/>
  </r>
  <r>
    <n v="700"/>
    <x v="0"/>
    <x v="241"/>
    <x v="165"/>
    <x v="1"/>
    <n v="3.3232876712328765"/>
    <x v="5"/>
    <n v="6918"/>
    <n v="2.13"/>
    <n v="1.72"/>
    <n v="26"/>
  </r>
  <r>
    <n v="701"/>
    <x v="0"/>
    <x v="603"/>
    <x v="166"/>
    <x v="1"/>
    <n v="3.3178082191780822"/>
    <x v="5"/>
    <n v="4590"/>
    <n v="3.86"/>
    <n v="2.91"/>
    <n v="28"/>
  </r>
  <r>
    <n v="702"/>
    <x v="5"/>
    <x v="604"/>
    <x v="0"/>
    <x v="0"/>
    <n v="1.6520547945205479"/>
    <x v="0"/>
    <n v="5460"/>
    <n v="4.75"/>
    <n v="4.55"/>
    <n v="17"/>
  </r>
  <r>
    <n v="703"/>
    <x v="4"/>
    <x v="605"/>
    <x v="167"/>
    <x v="1"/>
    <n v="0.70684931506849313"/>
    <x v="11"/>
    <n v="6644"/>
    <n v="3.07"/>
    <n v="1.59"/>
    <n v="1"/>
  </r>
  <r>
    <n v="704"/>
    <x v="0"/>
    <x v="606"/>
    <x v="0"/>
    <x v="0"/>
    <n v="2.6273972602739728"/>
    <x v="0"/>
    <n v="9269"/>
    <n v="4.9000000000000004"/>
    <n v="3.63"/>
    <n v="18"/>
  </r>
  <r>
    <n v="705"/>
    <x v="4"/>
    <x v="607"/>
    <x v="0"/>
    <x v="0"/>
    <n v="7.0465753424657533"/>
    <x v="0"/>
    <n v="9175"/>
    <n v="2.61"/>
    <n v="2.88"/>
    <n v="17"/>
  </r>
  <r>
    <n v="706"/>
    <x v="1"/>
    <x v="608"/>
    <x v="0"/>
    <x v="0"/>
    <n v="8.2356164383561641"/>
    <x v="0"/>
    <n v="9257"/>
    <n v="4.05"/>
    <n v="1.1000000000000001"/>
    <n v="25"/>
  </r>
  <r>
    <n v="707"/>
    <x v="2"/>
    <x v="206"/>
    <x v="0"/>
    <x v="0"/>
    <n v="6.419178082191781"/>
    <x v="0"/>
    <n v="13776"/>
    <n v="3.16"/>
    <n v="1.32"/>
    <n v="7"/>
  </r>
  <r>
    <n v="708"/>
    <x v="4"/>
    <x v="40"/>
    <x v="0"/>
    <x v="0"/>
    <n v="3.1780821917808217"/>
    <x v="0"/>
    <n v="7823"/>
    <n v="3.45"/>
    <n v="1.49"/>
    <n v="8"/>
  </r>
  <r>
    <n v="709"/>
    <x v="4"/>
    <x v="609"/>
    <x v="0"/>
    <x v="0"/>
    <n v="7.2767123287671236"/>
    <x v="0"/>
    <n v="7212"/>
    <n v="4.1399999999999997"/>
    <n v="1.96"/>
    <n v="17"/>
  </r>
  <r>
    <n v="710"/>
    <x v="2"/>
    <x v="610"/>
    <x v="168"/>
    <x v="1"/>
    <n v="2.8410958904109589"/>
    <x v="4"/>
    <n v="11044"/>
    <n v="2.9"/>
    <n v="3.4"/>
    <n v="16"/>
  </r>
  <r>
    <n v="711"/>
    <x v="4"/>
    <x v="611"/>
    <x v="0"/>
    <x v="0"/>
    <n v="7.161643835616438"/>
    <x v="0"/>
    <n v="3156"/>
    <n v="4.21"/>
    <n v="3.39"/>
    <n v="10"/>
  </r>
  <r>
    <n v="712"/>
    <x v="0"/>
    <x v="360"/>
    <x v="0"/>
    <x v="0"/>
    <n v="5.2493150684931509"/>
    <x v="0"/>
    <n v="10246"/>
    <n v="4.62"/>
    <n v="1.35"/>
    <n v="25"/>
  </r>
  <r>
    <n v="713"/>
    <x v="2"/>
    <x v="612"/>
    <x v="0"/>
    <x v="0"/>
    <n v="3.4602739726027396"/>
    <x v="0"/>
    <n v="10853"/>
    <n v="3.47"/>
    <n v="2.41"/>
    <n v="9"/>
  </r>
  <r>
    <n v="714"/>
    <x v="1"/>
    <x v="613"/>
    <x v="0"/>
    <x v="0"/>
    <n v="5.0849315068493155"/>
    <x v="0"/>
    <n v="11096"/>
    <n v="4.18"/>
    <n v="4.1900000000000004"/>
    <n v="25"/>
  </r>
  <r>
    <n v="715"/>
    <x v="1"/>
    <x v="614"/>
    <x v="0"/>
    <x v="0"/>
    <n v="2.2465753424657535"/>
    <x v="0"/>
    <n v="10011"/>
    <n v="4.22"/>
    <n v="4.22"/>
    <n v="28"/>
  </r>
  <r>
    <n v="716"/>
    <x v="4"/>
    <x v="615"/>
    <x v="0"/>
    <x v="0"/>
    <n v="3.2082191780821918"/>
    <x v="0"/>
    <n v="8960"/>
    <n v="3.16"/>
    <n v="3.33"/>
    <n v="6"/>
  </r>
  <r>
    <n v="717"/>
    <x v="1"/>
    <x v="616"/>
    <x v="0"/>
    <x v="0"/>
    <n v="2.9205479452054797"/>
    <x v="0"/>
    <n v="14334"/>
    <n v="2.61"/>
    <n v="2.17"/>
    <n v="25"/>
  </r>
  <r>
    <n v="718"/>
    <x v="1"/>
    <x v="617"/>
    <x v="0"/>
    <x v="0"/>
    <n v="3.4027397260273973"/>
    <x v="0"/>
    <n v="8694"/>
    <n v="3.19"/>
    <n v="3.45"/>
    <n v="11"/>
  </r>
  <r>
    <n v="719"/>
    <x v="1"/>
    <x v="618"/>
    <x v="0"/>
    <x v="0"/>
    <n v="4.3890410958904109"/>
    <x v="0"/>
    <n v="7825"/>
    <n v="2.76"/>
    <n v="2.79"/>
    <n v="25"/>
  </r>
  <r>
    <n v="720"/>
    <x v="1"/>
    <x v="619"/>
    <x v="0"/>
    <x v="0"/>
    <n v="4"/>
    <x v="0"/>
    <n v="8960"/>
    <n v="2.73"/>
    <n v="3.65"/>
    <n v="29"/>
  </r>
  <r>
    <n v="721"/>
    <x v="2"/>
    <x v="620"/>
    <x v="0"/>
    <x v="0"/>
    <n v="7.8630136986301373"/>
    <x v="0"/>
    <n v="4299"/>
    <n v="4.1900000000000004"/>
    <n v="4.08"/>
    <n v="3"/>
  </r>
  <r>
    <n v="722"/>
    <x v="5"/>
    <x v="621"/>
    <x v="0"/>
    <x v="0"/>
    <n v="2.463013698630137"/>
    <x v="0"/>
    <n v="5721"/>
    <n v="3.49"/>
    <n v="1.71"/>
    <n v="17"/>
  </r>
  <r>
    <n v="723"/>
    <x v="5"/>
    <x v="622"/>
    <x v="0"/>
    <x v="0"/>
    <n v="4.8767123287671232"/>
    <x v="0"/>
    <n v="8365"/>
    <n v="3.42"/>
    <n v="4.4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AE14DB-438A-43F3-8D03-4B9E4A3F1054}" name="Average of EngagementScore per ex"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location ref="A52:B54" firstHeaderRow="1" firstDataRow="1" firstDataCol="1"/>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Row" showAll="0">
      <items count="3">
        <item x="1"/>
        <item x="0"/>
        <item t="default"/>
      </items>
    </pivotField>
    <pivotField numFmtId="166" showAll="0"/>
    <pivotField numFmtId="1" showAll="0"/>
    <pivotField showAll="0"/>
    <pivotField showAll="0"/>
    <pivotField dataField="1"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2">
    <i>
      <x/>
    </i>
    <i>
      <x v="1"/>
    </i>
  </rowItems>
  <colItems count="1">
    <i/>
  </colItems>
  <dataFields count="1">
    <dataField name="Average of EngagementScore" fld="9" subtotal="average" baseField="4"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95FFEC-D883-4E52-912A-4B2432DA9E3B}" name="PivotTable14"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5">
  <location ref="A72:B74" firstHeaderRow="1" firstDataRow="1" firstDataCol="1"/>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Row" showAll="0">
      <items count="3">
        <item x="1"/>
        <item x="0"/>
        <item t="default"/>
      </items>
    </pivotField>
    <pivotField dataField="1" numFmtId="166" showAll="0"/>
    <pivotField numFmtId="1"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2">
    <i>
      <x/>
    </i>
    <i>
      <x v="1"/>
    </i>
  </rowItems>
  <colItems count="1">
    <i/>
  </colItems>
  <dataFields count="1">
    <dataField name="Average of Tenure" fld="5" subtotal="average" baseField="0" baseItem="0" numFmtId="166"/>
  </dataFields>
  <formats count="3">
    <format dxfId="5">
      <pivotArea type="all" dataOnly="0" outline="0" fieldPosition="0"/>
    </format>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A7EDCD-A663-4057-BD32-EDD3F45F6FA2}"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F4:G16" firstHeaderRow="1" firstDataRow="1" firstDataCol="1" rowPageCount="1" colPageCount="1"/>
  <pivotFields count="17">
    <pivotField dataField="1"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Page" showAll="0">
      <items count="3">
        <item x="1"/>
        <item x="0"/>
        <item t="default"/>
      </items>
    </pivotField>
    <pivotField numFmtId="166" showAll="0"/>
    <pivotField numFmtId="1" showAll="0">
      <items count="13">
        <item x="9"/>
        <item x="6"/>
        <item x="10"/>
        <item x="3"/>
        <item x="2"/>
        <item x="1"/>
        <item x="5"/>
        <item x="0"/>
        <item x="4"/>
        <item x="7"/>
        <item x="8"/>
        <item x="11"/>
        <item t="default"/>
      </items>
    </pivotField>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13">
        <item x="0"/>
        <item x="1"/>
        <item x="2"/>
        <item x="3"/>
        <item x="4"/>
        <item x="5"/>
        <item x="6"/>
        <item x="7"/>
        <item x="8"/>
        <item x="9"/>
        <item x="10"/>
        <item x="11"/>
        <item x="12"/>
      </items>
    </pivotField>
  </pivotFields>
  <rowFields count="1">
    <field x="16"/>
  </rowFields>
  <rowItems count="12">
    <i>
      <x v="1"/>
    </i>
    <i>
      <x v="2"/>
    </i>
    <i>
      <x v="3"/>
    </i>
    <i>
      <x v="4"/>
    </i>
    <i>
      <x v="5"/>
    </i>
    <i>
      <x v="6"/>
    </i>
    <i>
      <x v="7"/>
    </i>
    <i>
      <x v="8"/>
    </i>
    <i>
      <x v="9"/>
    </i>
    <i>
      <x v="10"/>
    </i>
    <i>
      <x v="11"/>
    </i>
    <i t="grand">
      <x/>
    </i>
  </rowItems>
  <colItems count="1">
    <i/>
  </colItems>
  <pageFields count="1">
    <pageField fld="4" item="0" hier="-1"/>
  </pageFields>
  <dataFields count="1">
    <dataField name="Count of EmployeeID" fld="0" subtotal="count" baseField="15" baseItem="1"/>
  </dataFields>
  <chartFormats count="2">
    <chartFormat chart="10" format="2" series="1">
      <pivotArea type="data" outline="0" fieldPosition="0">
        <references count="1">
          <reference field="4294967294" count="1" selected="0">
            <x v="0"/>
          </reference>
        </references>
      </pivotArea>
    </chartFormat>
    <chartFormat chart="10"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04AA05-D236-4D03-90BD-9CDBFB944DD9}" name="Average of EngagementScor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49:A50" firstHeaderRow="1" firstDataRow="1" firstDataCol="0"/>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showAll="0">
      <items count="3">
        <item x="1"/>
        <item x="0"/>
        <item t="default"/>
      </items>
    </pivotField>
    <pivotField numFmtId="166" showAll="0"/>
    <pivotField numFmtId="1" showAll="0"/>
    <pivotField showAll="0"/>
    <pivotField showAll="0"/>
    <pivotField dataField="1"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dataFields count="1">
    <dataField name="Average of EngagementScore" fld="9" subtotal="average" baseField="0" baseItem="0" numFmtId="2"/>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FE812D-9D68-4F51-9641-B5E9DCCC7606}" name="Average Tenure"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location ref="A69:A70" firstHeaderRow="1" firstDataRow="1" firstDataCol="0"/>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showAll="0">
      <items count="3">
        <item x="1"/>
        <item x="0"/>
        <item t="default"/>
      </items>
    </pivotField>
    <pivotField dataField="1" numFmtId="166" showAll="0"/>
    <pivotField numFmtId="1"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dataFields count="1">
    <dataField name="Average of Tenure" fld="5" subtotal="average" baseField="0" baseItem="0" numFmtId="166"/>
  </dataFields>
  <formats count="3">
    <format dxfId="11">
      <pivotArea type="all" dataOnly="0" outline="0" fieldPosition="0"/>
    </format>
    <format dxfId="10">
      <pivotArea dataOnly="0" labelOnly="1" outline="0" axis="axisValues"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B4CC80-A536-48E7-BCD5-6B083A8A7E0A}" name="Total Employe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6" firstHeaderRow="1" firstDataRow="1" firstDataCol="1"/>
  <pivotFields count="17">
    <pivotField dataField="1"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Row" showAll="0">
      <items count="3">
        <item x="1"/>
        <item x="0"/>
        <item t="default"/>
      </items>
    </pivotField>
    <pivotField numFmtId="166" showAll="0"/>
    <pivotField numFmtId="1"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3">
    <i>
      <x/>
    </i>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28D7D4-AA7C-4BA7-A981-F82D8BBCBCF3}"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F19:F31" firstHeaderRow="1" firstDataRow="1" firstDataCol="1"/>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showAll="0">
      <items count="3">
        <item x="1"/>
        <item x="0"/>
        <item t="default"/>
      </items>
    </pivotField>
    <pivotField numFmtId="166" showAll="0"/>
    <pivotField numFmtId="1"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axis="axisRow" showAll="0" defaultSubtotal="0">
      <items count="13">
        <item h="1" x="0"/>
        <item x="1"/>
        <item x="2"/>
        <item x="3"/>
        <item x="4"/>
        <item x="5"/>
        <item x="6"/>
        <item x="7"/>
        <item x="8"/>
        <item x="9"/>
        <item x="10"/>
        <item x="11"/>
        <item x="12"/>
      </items>
    </pivotField>
  </pivotFields>
  <rowFields count="1">
    <field x="16"/>
  </rowFields>
  <rowItems count="12">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9F3CEE-29A6-4BED-B1AB-24E76E4696CB}" name="Avg Salary per Departmen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A26:C33" firstHeaderRow="1" firstDataRow="2" firstDataCol="1"/>
  <pivotFields count="17">
    <pivotField showAll="0"/>
    <pivotField axis="axisRow"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Col" showAll="0">
      <items count="3">
        <item x="1"/>
        <item x="0"/>
        <item t="default"/>
      </items>
    </pivotField>
    <pivotField numFmtId="166" showAll="0"/>
    <pivotField numFmtId="1" showAll="0"/>
    <pivotField dataField="1"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
  </rowFields>
  <rowItems count="6">
    <i>
      <x/>
    </i>
    <i>
      <x v="1"/>
    </i>
    <i>
      <x v="2"/>
    </i>
    <i>
      <x v="3"/>
    </i>
    <i>
      <x v="4"/>
    </i>
    <i>
      <x v="5"/>
    </i>
  </rowItems>
  <colFields count="1">
    <field x="4"/>
  </colFields>
  <colItems count="2">
    <i>
      <x/>
    </i>
    <i>
      <x v="1"/>
    </i>
  </colItems>
  <dataFields count="1">
    <dataField name="Average of Salary" fld="7" subtotal="average" baseField="0" baseItem="0" numFmtId="164"/>
  </dataFields>
  <formats count="3">
    <format dxfId="14">
      <pivotArea type="all" dataOnly="0" outline="0" fieldPosition="0"/>
    </format>
    <format dxfId="13">
      <pivotArea dataOnly="0" labelOnly="1" outline="0" axis="axisValues" fieldPosition="0"/>
    </format>
    <format dxfId="12">
      <pivotArea outline="0" collapsedLevelsAreSubtotals="1" fieldPosition="0"/>
    </format>
  </formats>
  <chartFormats count="7">
    <chartFormat chart="2" format="2" series="1">
      <pivotArea type="data" outline="0" fieldPosition="0">
        <references count="2">
          <reference field="4294967294" count="1" selected="0">
            <x v="0"/>
          </reference>
          <reference field="4" count="1" selected="0">
            <x v="0"/>
          </reference>
        </references>
      </pivotArea>
    </chartFormat>
    <chartFormat chart="2" format="3"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95E767-39AD-4E14-A7DA-96F85D81E9CB}" name="Average of PerformanceScore per ex"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38:C45" firstHeaderRow="1" firstDataRow="2" firstDataCol="1"/>
  <pivotFields count="17">
    <pivotField showAll="0"/>
    <pivotField axis="axisRow"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Col" showAll="0">
      <items count="3">
        <item x="1"/>
        <item x="0"/>
        <item t="default"/>
      </items>
    </pivotField>
    <pivotField numFmtId="166" showAll="0"/>
    <pivotField numFmtId="1" showAll="0"/>
    <pivotField showAll="0"/>
    <pivotField dataField="1"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
  </rowFields>
  <rowItems count="6">
    <i>
      <x/>
    </i>
    <i>
      <x v="1"/>
    </i>
    <i>
      <x v="2"/>
    </i>
    <i>
      <x v="3"/>
    </i>
    <i>
      <x v="4"/>
    </i>
    <i>
      <x v="5"/>
    </i>
  </rowItems>
  <colFields count="1">
    <field x="4"/>
  </colFields>
  <colItems count="2">
    <i>
      <x/>
    </i>
    <i>
      <x v="1"/>
    </i>
  </colItems>
  <dataFields count="1">
    <dataField name="Average of PerformanceScore" fld="8" subtotal="average" baseField="4" baseItem="1" numFmtId="166"/>
  </dataFields>
  <formats count="5">
    <format dxfId="19">
      <pivotArea type="all" dataOnly="0" outline="0" fieldPosition="0"/>
    </format>
    <format dxfId="18">
      <pivotArea dataOnly="0" labelOnly="1" outline="0" axis="axisValues" fieldPosition="0"/>
    </format>
    <format dxfId="17">
      <pivotArea outline="0" fieldPosition="0">
        <references count="1">
          <reference field="4294967294" count="1">
            <x v="0"/>
          </reference>
        </references>
      </pivotArea>
    </format>
    <format dxfId="16">
      <pivotArea outline="0" fieldPosition="0">
        <references count="1">
          <reference field="4294967294" count="1">
            <x v="0"/>
          </reference>
        </references>
      </pivotArea>
    </format>
    <format dxfId="15">
      <pivotArea outline="0" collapsedLevelsAreSubtotals="1" fieldPosition="0"/>
    </format>
  </formats>
  <chartFormats count="3">
    <chartFormat chart="4" format="7" series="1">
      <pivotArea type="data" outline="0" fieldPosition="0">
        <references count="2">
          <reference field="4294967294" count="1" selected="0">
            <x v="0"/>
          </reference>
          <reference field="4" count="1" selected="0">
            <x v="0"/>
          </reference>
        </references>
      </pivotArea>
    </chartFormat>
    <chartFormat chart="4" format="8" series="1">
      <pivotArea type="data" outline="0" fieldPosition="0">
        <references count="2">
          <reference field="4294967294" count="1" selected="0">
            <x v="0"/>
          </reference>
          <reference field="4" count="1" selected="0">
            <x v="1"/>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FE0983-3D1F-4256-8442-41F1980CCD21}" name="Attrition by Departmen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A14:C21" firstHeaderRow="1" firstDataRow="2" firstDataCol="1"/>
  <pivotFields count="17">
    <pivotField showAll="0"/>
    <pivotField axis="axisRow" showAll="0" sortType="ascending">
      <items count="7">
        <item x="5"/>
        <item x="3"/>
        <item x="0"/>
        <item x="2"/>
        <item x="4"/>
        <item x="1"/>
        <item t="default"/>
      </items>
      <autoSortScope>
        <pivotArea dataOnly="0" outline="0" fieldPosition="0">
          <references count="1">
            <reference field="4294967294" count="1" selected="0">
              <x v="0"/>
            </reference>
          </references>
        </pivotArea>
      </autoSortScope>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Col" dataField="1" multipleItemSelectionAllowed="1" showAll="0">
      <items count="3">
        <item x="1"/>
        <item x="0"/>
        <item t="default"/>
      </items>
    </pivotField>
    <pivotField numFmtId="166" showAll="0"/>
    <pivotField numFmtId="1"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
  </rowFields>
  <rowItems count="6">
    <i>
      <x v="5"/>
    </i>
    <i>
      <x v="3"/>
    </i>
    <i>
      <x v="4"/>
    </i>
    <i>
      <x v="1"/>
    </i>
    <i>
      <x v="2"/>
    </i>
    <i>
      <x/>
    </i>
  </rowItems>
  <colFields count="1">
    <field x="4"/>
  </colFields>
  <colItems count="2">
    <i>
      <x/>
    </i>
    <i>
      <x v="1"/>
    </i>
  </colItems>
  <dataFields count="1">
    <dataField name="Count of  Employee Status" fld="4" subtotal="count" showDataAs="percentOfRow" baseField="1" baseItem="0" numFmtId="10"/>
  </dataFields>
  <formats count="3">
    <format dxfId="22">
      <pivotArea outline="0" collapsedLevelsAreSubtotals="1" fieldPosition="0">
        <references count="1">
          <reference field="4" count="1" selected="0">
            <x v="1"/>
          </reference>
        </references>
      </pivotArea>
    </format>
    <format dxfId="21">
      <pivotArea collapsedLevelsAreSubtotals="1" fieldPosition="0">
        <references count="2">
          <reference field="1" count="1">
            <x v="3"/>
          </reference>
          <reference field="4" count="1" selected="0">
            <x v="0"/>
          </reference>
        </references>
      </pivotArea>
    </format>
    <format dxfId="20">
      <pivotArea outline="0" collapsedLevelsAreSubtotals="1" fieldPosition="0">
        <references count="1">
          <reference field="4" count="1" selected="0">
            <x v="0"/>
          </reference>
        </references>
      </pivotArea>
    </format>
  </formats>
  <chartFormats count="10">
    <chartFormat chart="15" format="11" series="1">
      <pivotArea type="data" outline="0" fieldPosition="0">
        <references count="2">
          <reference field="4294967294" count="1" selected="0">
            <x v="0"/>
          </reference>
          <reference field="4" count="1" selected="0">
            <x v="0"/>
          </reference>
        </references>
      </pivotArea>
    </chartFormat>
    <chartFormat chart="15" format="12" series="1">
      <pivotArea type="data" outline="0" fieldPosition="0">
        <references count="2">
          <reference field="4294967294" count="1" selected="0">
            <x v="0"/>
          </reference>
          <reference field="4" count="1" selected="0">
            <x v="1"/>
          </reference>
        </references>
      </pivotArea>
    </chartFormat>
    <chartFormat chart="15" format="13">
      <pivotArea type="data" outline="0" fieldPosition="0">
        <references count="3">
          <reference field="4294967294" count="1" selected="0">
            <x v="0"/>
          </reference>
          <reference field="1" count="1" selected="0">
            <x v="0"/>
          </reference>
          <reference field="4" count="1" selected="0">
            <x v="1"/>
          </reference>
        </references>
      </pivotArea>
    </chartFormat>
    <chartFormat chart="15" format="14">
      <pivotArea type="data" outline="0" fieldPosition="0">
        <references count="3">
          <reference field="4294967294" count="1" selected="0">
            <x v="0"/>
          </reference>
          <reference field="1" count="1" selected="0">
            <x v="0"/>
          </reference>
          <reference field="4" count="1" selected="0">
            <x v="0"/>
          </reference>
        </references>
      </pivotArea>
    </chartFormat>
    <chartFormat chart="15" format="15">
      <pivotArea type="data" outline="0" fieldPosition="0">
        <references count="3">
          <reference field="4294967294" count="1" selected="0">
            <x v="0"/>
          </reference>
          <reference field="1" count="1" selected="0">
            <x v="5"/>
          </reference>
          <reference field="4" count="1" selected="0">
            <x v="0"/>
          </reference>
        </references>
      </pivotArea>
    </chartFormat>
    <chartFormat chart="15" format="16">
      <pivotArea type="data" outline="0" fieldPosition="0">
        <references count="3">
          <reference field="4294967294" count="1" selected="0">
            <x v="0"/>
          </reference>
          <reference field="1" count="1" selected="0">
            <x v="3"/>
          </reference>
          <reference field="4" count="1" selected="0">
            <x v="0"/>
          </reference>
        </references>
      </pivotArea>
    </chartFormat>
    <chartFormat chart="15" format="17">
      <pivotArea type="data" outline="0" fieldPosition="0">
        <references count="3">
          <reference field="4294967294" count="1" selected="0">
            <x v="0"/>
          </reference>
          <reference field="1" count="1" selected="0">
            <x v="4"/>
          </reference>
          <reference field="4" count="1" selected="0">
            <x v="0"/>
          </reference>
        </references>
      </pivotArea>
    </chartFormat>
    <chartFormat chart="15" format="18">
      <pivotArea type="data" outline="0" fieldPosition="0">
        <references count="3">
          <reference field="4294967294" count="1" selected="0">
            <x v="0"/>
          </reference>
          <reference field="1" count="1" selected="0">
            <x v="1"/>
          </reference>
          <reference field="4" count="1" selected="0">
            <x v="0"/>
          </reference>
        </references>
      </pivotArea>
    </chartFormat>
    <chartFormat chart="15" format="19">
      <pivotArea type="data" outline="0" fieldPosition="0">
        <references count="3">
          <reference field="4294967294" count="1" selected="0">
            <x v="0"/>
          </reference>
          <reference field="1" count="1" selected="0">
            <x v="2"/>
          </reference>
          <reference field="4" count="1" selected="0">
            <x v="0"/>
          </reference>
        </references>
      </pivotArea>
    </chartFormat>
    <chartFormat chart="15"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67D6D6-F715-4CE4-A59E-843030BFD6FC}" name="Average of PerformanceScor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5:A36" firstHeaderRow="1" firstDataRow="1" firstDataCol="0"/>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showAll="0">
      <items count="3">
        <item x="1"/>
        <item x="0"/>
        <item t="default"/>
      </items>
    </pivotField>
    <pivotField numFmtId="166" showAll="0"/>
    <pivotField numFmtId="1" showAll="0"/>
    <pivotField showAll="0"/>
    <pivotField dataField="1"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dataFields count="1">
    <dataField name="Average of PerformanceScore" fld="8" subtotal="average" baseField="0" baseItem="0" numFmtId="2"/>
  </dataFields>
  <formats count="3">
    <format dxfId="25">
      <pivotArea type="all" dataOnly="0" outline="0" fieldPosition="0"/>
    </format>
    <format dxfId="24">
      <pivotArea dataOnly="0" labelOnly="1" outline="0" axis="axisValues"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2BCD3D-E594-4E9D-BD05-DFA7C2843794}" name="Average of AbsentDays"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location ref="A56:A57" firstHeaderRow="1" firstDataRow="1" firstDataCol="0"/>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showAll="0">
      <items count="3">
        <item x="1"/>
        <item x="0"/>
        <item t="default"/>
      </items>
    </pivotField>
    <pivotField numFmtId="166" showAll="0"/>
    <pivotField numFmtId="1" showAll="0"/>
    <pivotField showAll="0"/>
    <pivotField showAll="0"/>
    <pivotField showAll="0"/>
    <pivotField dataField="1"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dataFields count="1">
    <dataField name="Average of AbsentDays" fld="10" subtotal="average" baseField="0" baseItem="0"/>
  </dataFields>
  <formats count="3">
    <format dxfId="28">
      <pivotArea type="all" dataOnly="0" outline="0" fieldPosition="0"/>
    </format>
    <format dxfId="27">
      <pivotArea dataOnly="0" labelOnly="1" outline="0" axis="axisValues"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BCC10D-4F19-4FB7-A41D-8A3391CE9F34}" name="Average of Sala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3:A24" firstHeaderRow="1" firstDataRow="1" firstDataCol="0"/>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showAll="0">
      <items count="3">
        <item x="1"/>
        <item x="0"/>
        <item t="default"/>
      </items>
    </pivotField>
    <pivotField numFmtId="166" showAll="0"/>
    <pivotField numFmtId="1" showAll="0"/>
    <pivotField dataField="1"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dataFields count="1">
    <dataField name="Average of Salary" fld="7" subtotal="average" baseField="0" baseItem="0" numFmtId="165"/>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EA2C00-23FF-4057-A625-D9CE7A438250}" name="Attrition R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B11" firstHeaderRow="1" firstDataRow="1" firstDataCol="1"/>
  <pivotFields count="17">
    <pivotField dataField="1"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Row" showAll="0">
      <items count="3">
        <item x="1"/>
        <item x="0"/>
        <item t="default"/>
      </items>
    </pivotField>
    <pivotField numFmtId="166" showAll="0"/>
    <pivotField numFmtId="1"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3">
    <i>
      <x/>
    </i>
    <i>
      <x v="1"/>
    </i>
    <i t="grand">
      <x/>
    </i>
  </rowItems>
  <colItems count="1">
    <i/>
  </colItems>
  <dataFields count="1">
    <dataField name="Count of Employee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A2386DD-5609-4BBE-BBE0-BDFF074C0A08}" name="PivotTable12"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7">
  <location ref="A59:B61" firstHeaderRow="1" firstDataRow="1" firstDataCol="1"/>
  <pivotFields count="17">
    <pivotField showAll="0"/>
    <pivotField showAll="0">
      <items count="7">
        <item x="1"/>
        <item x="4"/>
        <item x="2"/>
        <item x="0"/>
        <item x="3"/>
        <item x="5"/>
        <item t="default"/>
      </items>
    </pivotField>
    <pivotField numFmtId="14" showAll="0">
      <items count="624">
        <item x="429"/>
        <item x="103"/>
        <item x="608"/>
        <item x="66"/>
        <item x="88"/>
        <item x="165"/>
        <item x="378"/>
        <item x="356"/>
        <item x="167"/>
        <item x="82"/>
        <item x="295"/>
        <item x="239"/>
        <item x="485"/>
        <item x="95"/>
        <item x="362"/>
        <item x="402"/>
        <item x="233"/>
        <item x="238"/>
        <item x="434"/>
        <item x="572"/>
        <item x="389"/>
        <item x="321"/>
        <item x="333"/>
        <item x="21"/>
        <item x="197"/>
        <item x="548"/>
        <item x="482"/>
        <item x="419"/>
        <item x="136"/>
        <item x="275"/>
        <item x="470"/>
        <item x="372"/>
        <item x="273"/>
        <item x="453"/>
        <item x="291"/>
        <item x="620"/>
        <item x="383"/>
        <item x="166"/>
        <item x="449"/>
        <item x="68"/>
        <item x="140"/>
        <item x="11"/>
        <item x="398"/>
        <item x="476"/>
        <item x="172"/>
        <item x="513"/>
        <item x="326"/>
        <item x="230"/>
        <item x="290"/>
        <item x="329"/>
        <item x="602"/>
        <item x="560"/>
        <item x="578"/>
        <item x="187"/>
        <item x="426"/>
        <item x="286"/>
        <item x="262"/>
        <item x="150"/>
        <item x="178"/>
        <item x="28"/>
        <item x="267"/>
        <item x="334"/>
        <item x="112"/>
        <item x="181"/>
        <item x="313"/>
        <item x="358"/>
        <item x="576"/>
        <item x="274"/>
        <item x="196"/>
        <item x="588"/>
        <item x="284"/>
        <item x="320"/>
        <item x="594"/>
        <item x="584"/>
        <item x="253"/>
        <item x="477"/>
        <item x="339"/>
        <item x="105"/>
        <item x="467"/>
        <item x="394"/>
        <item x="10"/>
        <item x="347"/>
        <item x="452"/>
        <item x="388"/>
        <item x="214"/>
        <item x="609"/>
        <item x="151"/>
        <item x="221"/>
        <item x="204"/>
        <item x="384"/>
        <item x="240"/>
        <item x="517"/>
        <item x="446"/>
        <item x="81"/>
        <item x="220"/>
        <item x="367"/>
        <item x="431"/>
        <item x="345"/>
        <item x="611"/>
        <item x="365"/>
        <item x="1"/>
        <item x="359"/>
        <item x="361"/>
        <item x="129"/>
        <item x="607"/>
        <item x="180"/>
        <item x="79"/>
        <item x="590"/>
        <item x="478"/>
        <item x="311"/>
        <item x="110"/>
        <item x="245"/>
        <item x="271"/>
        <item x="373"/>
        <item x="468"/>
        <item x="502"/>
        <item x="145"/>
        <item x="553"/>
        <item x="550"/>
        <item x="318"/>
        <item x="52"/>
        <item x="26"/>
        <item x="307"/>
        <item x="404"/>
        <item x="420"/>
        <item x="27"/>
        <item x="515"/>
        <item x="396"/>
        <item x="35"/>
        <item x="182"/>
        <item x="57"/>
        <item x="597"/>
        <item x="408"/>
        <item x="56"/>
        <item x="580"/>
        <item x="487"/>
        <item x="92"/>
        <item x="188"/>
        <item x="183"/>
        <item x="195"/>
        <item x="392"/>
        <item x="537"/>
        <item x="264"/>
        <item x="510"/>
        <item x="505"/>
        <item x="225"/>
        <item x="587"/>
        <item x="29"/>
        <item x="346"/>
        <item x="308"/>
        <item x="331"/>
        <item x="304"/>
        <item x="223"/>
        <item x="272"/>
        <item x="36"/>
        <item x="120"/>
        <item x="353"/>
        <item x="159"/>
        <item x="524"/>
        <item x="87"/>
        <item x="599"/>
        <item x="218"/>
        <item x="189"/>
        <item x="593"/>
        <item x="222"/>
        <item x="206"/>
        <item x="435"/>
        <item x="109"/>
        <item x="565"/>
        <item x="403"/>
        <item x="506"/>
        <item x="8"/>
        <item x="78"/>
        <item x="292"/>
        <item x="495"/>
        <item x="266"/>
        <item x="224"/>
        <item x="368"/>
        <item x="169"/>
        <item x="41"/>
        <item x="216"/>
        <item x="441"/>
        <item x="192"/>
        <item x="9"/>
        <item x="581"/>
        <item x="343"/>
        <item x="38"/>
        <item x="545"/>
        <item x="528"/>
        <item x="49"/>
        <item x="366"/>
        <item x="540"/>
        <item x="430"/>
        <item x="432"/>
        <item x="465"/>
        <item x="412"/>
        <item x="601"/>
        <item x="444"/>
        <item x="62"/>
        <item x="200"/>
        <item x="543"/>
        <item x="586"/>
        <item x="72"/>
        <item x="448"/>
        <item x="369"/>
        <item x="526"/>
        <item x="397"/>
        <item x="269"/>
        <item x="535"/>
        <item x="440"/>
        <item x="428"/>
        <item x="98"/>
        <item x="552"/>
        <item x="511"/>
        <item x="489"/>
        <item x="410"/>
        <item x="480"/>
        <item x="213"/>
        <item x="445"/>
        <item x="248"/>
        <item x="268"/>
        <item x="469"/>
        <item x="380"/>
        <item x="504"/>
        <item x="481"/>
        <item x="128"/>
        <item x="15"/>
        <item x="201"/>
        <item x="297"/>
        <item x="17"/>
        <item x="134"/>
        <item x="559"/>
        <item x="556"/>
        <item x="252"/>
        <item x="413"/>
        <item x="302"/>
        <item x="161"/>
        <item x="184"/>
        <item x="13"/>
        <item x="237"/>
        <item x="127"/>
        <item x="175"/>
        <item x="163"/>
        <item x="387"/>
        <item x="562"/>
        <item x="114"/>
        <item x="228"/>
        <item x="251"/>
        <item x="330"/>
        <item x="312"/>
        <item x="564"/>
        <item x="514"/>
        <item x="31"/>
        <item x="591"/>
        <item x="34"/>
        <item x="390"/>
        <item x="289"/>
        <item x="236"/>
        <item x="603"/>
        <item x="131"/>
        <item x="130"/>
        <item x="190"/>
        <item x="33"/>
        <item x="65"/>
        <item x="296"/>
        <item x="47"/>
        <item x="115"/>
        <item x="360"/>
        <item x="73"/>
        <item x="20"/>
        <item x="69"/>
        <item x="411"/>
        <item x="500"/>
        <item x="427"/>
        <item x="241"/>
        <item x="125"/>
        <item x="157"/>
        <item x="298"/>
        <item x="118"/>
        <item x="314"/>
        <item x="613"/>
        <item x="149"/>
        <item x="257"/>
        <item x="557"/>
        <item x="293"/>
        <item x="306"/>
        <item x="83"/>
        <item x="210"/>
        <item x="536"/>
        <item x="406"/>
        <item x="464"/>
        <item x="355"/>
        <item x="18"/>
        <item x="106"/>
        <item x="492"/>
        <item x="494"/>
        <item x="375"/>
        <item x="76"/>
        <item x="215"/>
        <item x="484"/>
        <item x="376"/>
        <item x="54"/>
        <item x="46"/>
        <item x="622"/>
        <item x="310"/>
        <item x="55"/>
        <item x="102"/>
        <item x="119"/>
        <item x="97"/>
        <item x="547"/>
        <item x="391"/>
        <item x="277"/>
        <item x="260"/>
        <item x="104"/>
        <item x="24"/>
        <item x="111"/>
        <item x="354"/>
        <item x="96"/>
        <item x="177"/>
        <item x="335"/>
        <item x="332"/>
        <item x="348"/>
        <item x="554"/>
        <item x="202"/>
        <item x="67"/>
        <item x="51"/>
        <item x="436"/>
        <item x="193"/>
        <item x="132"/>
        <item x="146"/>
        <item x="316"/>
        <item x="475"/>
        <item x="84"/>
        <item x="539"/>
        <item x="592"/>
        <item x="344"/>
        <item x="37"/>
        <item x="44"/>
        <item x="503"/>
        <item x="288"/>
        <item x="249"/>
        <item x="471"/>
        <item x="443"/>
        <item x="499"/>
        <item x="91"/>
        <item x="533"/>
        <item x="507"/>
        <item x="7"/>
        <item x="100"/>
        <item x="235"/>
        <item x="618"/>
        <item x="454"/>
        <item x="148"/>
        <item x="519"/>
        <item x="173"/>
        <item x="400"/>
        <item x="352"/>
        <item x="381"/>
        <item x="579"/>
        <item x="124"/>
        <item x="74"/>
        <item x="575"/>
        <item x="483"/>
        <item x="379"/>
        <item x="486"/>
        <item x="58"/>
        <item x="364"/>
        <item x="61"/>
        <item x="231"/>
        <item x="451"/>
        <item x="270"/>
        <item x="573"/>
        <item x="143"/>
        <item x="442"/>
        <item x="544"/>
        <item x="176"/>
        <item x="117"/>
        <item x="416"/>
        <item x="418"/>
        <item x="508"/>
        <item x="405"/>
        <item x="583"/>
        <item x="619"/>
        <item x="319"/>
        <item x="496"/>
        <item x="126"/>
        <item x="342"/>
        <item x="89"/>
        <item x="179"/>
        <item x="386"/>
        <item x="423"/>
        <item x="509"/>
        <item x="6"/>
        <item x="512"/>
        <item x="371"/>
        <item x="516"/>
        <item x="459"/>
        <item x="212"/>
        <item x="242"/>
        <item x="63"/>
        <item x="530"/>
        <item x="458"/>
        <item x="303"/>
        <item x="45"/>
        <item x="208"/>
        <item x="122"/>
        <item x="30"/>
        <item x="561"/>
        <item x="551"/>
        <item x="153"/>
        <item x="60"/>
        <item x="171"/>
        <item x="438"/>
        <item x="25"/>
        <item x="4"/>
        <item x="309"/>
        <item x="265"/>
        <item x="152"/>
        <item x="527"/>
        <item x="232"/>
        <item x="577"/>
        <item x="144"/>
        <item x="498"/>
        <item x="463"/>
        <item x="370"/>
        <item x="558"/>
        <item x="160"/>
        <item x="357"/>
        <item x="589"/>
        <item x="299"/>
        <item x="5"/>
        <item x="612"/>
        <item x="185"/>
        <item x="205"/>
        <item x="323"/>
        <item x="227"/>
        <item x="116"/>
        <item x="59"/>
        <item x="255"/>
        <item x="538"/>
        <item x="617"/>
        <item x="328"/>
        <item x="466"/>
        <item x="285"/>
        <item x="261"/>
        <item x="207"/>
        <item x="336"/>
        <item x="555"/>
        <item x="139"/>
        <item x="280"/>
        <item x="164"/>
        <item x="70"/>
        <item x="574"/>
        <item x="497"/>
        <item x="615"/>
        <item x="156"/>
        <item x="40"/>
        <item x="566"/>
        <item x="158"/>
        <item x="585"/>
        <item x="254"/>
        <item x="247"/>
        <item x="147"/>
        <item x="99"/>
        <item x="141"/>
        <item x="501"/>
        <item x="113"/>
        <item x="256"/>
        <item x="421"/>
        <item x="409"/>
        <item x="461"/>
        <item x="523"/>
        <item x="450"/>
        <item x="2"/>
        <item x="525"/>
        <item x="199"/>
        <item x="425"/>
        <item x="546"/>
        <item x="16"/>
        <item x="456"/>
        <item x="616"/>
        <item x="433"/>
        <item x="549"/>
        <item x="42"/>
        <item x="135"/>
        <item x="520"/>
        <item x="531"/>
        <item x="281"/>
        <item x="385"/>
        <item x="474"/>
        <item x="162"/>
        <item x="472"/>
        <item x="64"/>
        <item x="529"/>
        <item x="567"/>
        <item x="287"/>
        <item x="437"/>
        <item x="77"/>
        <item x="317"/>
        <item x="460"/>
        <item x="399"/>
        <item x="53"/>
        <item x="422"/>
        <item x="351"/>
        <item x="377"/>
        <item x="457"/>
        <item x="337"/>
        <item x="606"/>
        <item x="168"/>
        <item x="322"/>
        <item x="518"/>
        <item x="3"/>
        <item x="71"/>
        <item x="570"/>
        <item x="154"/>
        <item x="407"/>
        <item x="341"/>
        <item x="203"/>
        <item x="50"/>
        <item x="338"/>
        <item x="582"/>
        <item x="621"/>
        <item x="258"/>
        <item x="534"/>
        <item x="229"/>
        <item x="211"/>
        <item x="250"/>
        <item x="491"/>
        <item x="243"/>
        <item x="300"/>
        <item x="0"/>
        <item x="350"/>
        <item x="107"/>
        <item x="490"/>
        <item x="278"/>
        <item x="447"/>
        <item x="90"/>
        <item x="86"/>
        <item x="246"/>
        <item x="614"/>
        <item x="424"/>
        <item x="374"/>
        <item x="393"/>
        <item x="219"/>
        <item x="455"/>
        <item x="155"/>
        <item x="301"/>
        <item x="226"/>
        <item x="415"/>
        <item x="80"/>
        <item x="217"/>
        <item x="43"/>
        <item x="142"/>
        <item x="294"/>
        <item x="382"/>
        <item x="395"/>
        <item x="315"/>
        <item x="595"/>
        <item x="521"/>
        <item x="417"/>
        <item x="234"/>
        <item x="282"/>
        <item x="414"/>
        <item x="14"/>
        <item x="596"/>
        <item x="32"/>
        <item x="101"/>
        <item x="340"/>
        <item x="174"/>
        <item x="12"/>
        <item x="279"/>
        <item x="569"/>
        <item x="349"/>
        <item x="133"/>
        <item x="532"/>
        <item x="325"/>
        <item x="598"/>
        <item x="138"/>
        <item x="401"/>
        <item x="327"/>
        <item x="605"/>
        <item x="244"/>
        <item x="85"/>
        <item x="473"/>
        <item x="324"/>
        <item x="542"/>
        <item x="123"/>
        <item x="198"/>
        <item x="488"/>
        <item x="191"/>
        <item x="541"/>
        <item x="479"/>
        <item x="439"/>
        <item x="263"/>
        <item x="568"/>
        <item x="604"/>
        <item x="276"/>
        <item x="48"/>
        <item x="39"/>
        <item x="170"/>
        <item x="186"/>
        <item x="363"/>
        <item x="600"/>
        <item x="563"/>
        <item x="571"/>
        <item x="93"/>
        <item x="209"/>
        <item x="493"/>
        <item x="19"/>
        <item x="194"/>
        <item x="259"/>
        <item x="94"/>
        <item x="522"/>
        <item x="108"/>
        <item x="283"/>
        <item x="137"/>
        <item x="462"/>
        <item x="22"/>
        <item x="610"/>
        <item x="23"/>
        <item x="121"/>
        <item x="75"/>
        <item x="305"/>
        <item t="default"/>
      </items>
    </pivotField>
    <pivotField showAll="0">
      <items count="170">
        <item x="47"/>
        <item x="25"/>
        <item x="101"/>
        <item x="45"/>
        <item x="69"/>
        <item x="94"/>
        <item x="163"/>
        <item x="135"/>
        <item x="162"/>
        <item x="19"/>
        <item x="56"/>
        <item x="78"/>
        <item x="85"/>
        <item x="84"/>
        <item x="73"/>
        <item x="119"/>
        <item x="31"/>
        <item x="125"/>
        <item x="40"/>
        <item x="53"/>
        <item x="70"/>
        <item x="27"/>
        <item x="36"/>
        <item x="9"/>
        <item x="106"/>
        <item x="86"/>
        <item x="130"/>
        <item x="77"/>
        <item x="32"/>
        <item x="5"/>
        <item x="104"/>
        <item x="23"/>
        <item x="51"/>
        <item x="65"/>
        <item x="97"/>
        <item x="18"/>
        <item x="29"/>
        <item x="128"/>
        <item x="89"/>
        <item x="22"/>
        <item x="92"/>
        <item x="11"/>
        <item x="14"/>
        <item x="60"/>
        <item x="151"/>
        <item x="114"/>
        <item x="129"/>
        <item x="146"/>
        <item x="127"/>
        <item x="38"/>
        <item x="75"/>
        <item x="88"/>
        <item x="80"/>
        <item x="10"/>
        <item x="13"/>
        <item x="20"/>
        <item x="160"/>
        <item x="64"/>
        <item x="112"/>
        <item x="152"/>
        <item x="83"/>
        <item x="98"/>
        <item x="3"/>
        <item x="37"/>
        <item x="93"/>
        <item x="16"/>
        <item x="57"/>
        <item x="138"/>
        <item x="4"/>
        <item x="67"/>
        <item x="136"/>
        <item x="95"/>
        <item x="28"/>
        <item x="139"/>
        <item x="79"/>
        <item x="102"/>
        <item x="7"/>
        <item x="6"/>
        <item x="15"/>
        <item x="62"/>
        <item x="149"/>
        <item x="153"/>
        <item x="1"/>
        <item x="49"/>
        <item x="72"/>
        <item x="123"/>
        <item x="74"/>
        <item x="158"/>
        <item x="137"/>
        <item x="113"/>
        <item x="161"/>
        <item x="48"/>
        <item x="50"/>
        <item x="122"/>
        <item x="2"/>
        <item x="107"/>
        <item x="133"/>
        <item x="99"/>
        <item x="142"/>
        <item x="166"/>
        <item x="143"/>
        <item x="39"/>
        <item x="147"/>
        <item x="26"/>
        <item x="54"/>
        <item x="115"/>
        <item x="117"/>
        <item x="165"/>
        <item x="61"/>
        <item x="100"/>
        <item x="156"/>
        <item x="82"/>
        <item x="134"/>
        <item x="121"/>
        <item x="44"/>
        <item x="116"/>
        <item x="96"/>
        <item x="105"/>
        <item x="91"/>
        <item x="12"/>
        <item x="120"/>
        <item x="76"/>
        <item x="155"/>
        <item x="109"/>
        <item x="111"/>
        <item x="90"/>
        <item x="52"/>
        <item x="108"/>
        <item x="167"/>
        <item x="124"/>
        <item x="131"/>
        <item x="41"/>
        <item x="140"/>
        <item x="58"/>
        <item x="157"/>
        <item x="30"/>
        <item x="145"/>
        <item x="141"/>
        <item x="126"/>
        <item x="34"/>
        <item x="66"/>
        <item x="87"/>
        <item x="150"/>
        <item x="35"/>
        <item x="59"/>
        <item x="63"/>
        <item x="24"/>
        <item x="148"/>
        <item x="43"/>
        <item x="81"/>
        <item x="33"/>
        <item x="55"/>
        <item x="42"/>
        <item x="132"/>
        <item x="159"/>
        <item x="8"/>
        <item x="118"/>
        <item x="154"/>
        <item x="103"/>
        <item x="71"/>
        <item x="17"/>
        <item x="46"/>
        <item x="168"/>
        <item x="68"/>
        <item x="144"/>
        <item x="110"/>
        <item x="164"/>
        <item x="21"/>
        <item x="0"/>
        <item t="default"/>
      </items>
    </pivotField>
    <pivotField axis="axisRow" showAll="0">
      <items count="3">
        <item x="1"/>
        <item x="0"/>
        <item t="default"/>
      </items>
    </pivotField>
    <pivotField numFmtId="166" showAll="0"/>
    <pivotField numFmtId="1" showAll="0"/>
    <pivotField showAll="0"/>
    <pivotField showAll="0"/>
    <pivotField showAll="0"/>
    <pivotField dataField="1" showAll="0"/>
    <pivotField showAll="0" defaultSubtotal="0"/>
    <pivotField showAll="0" defaultSubtotal="0"/>
    <pivotField showAll="0" defaultSubtotal="0">
      <items count="9">
        <item x="0"/>
        <item x="1"/>
        <item x="2"/>
        <item x="3"/>
        <item x="4"/>
        <item x="5"/>
        <item x="6"/>
        <item x="7"/>
        <item x="8"/>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2">
    <i>
      <x/>
    </i>
    <i>
      <x v="1"/>
    </i>
  </rowItems>
  <colItems count="1">
    <i/>
  </colItems>
  <dataFields count="1">
    <dataField name="Average of AbsentDays" fld="10" subtotal="average" baseField="4" baseItem="0" numFmtId="166"/>
  </dataFields>
  <formats count="3">
    <format dxfId="34">
      <pivotArea type="all" dataOnly="0" outline="0" fieldPosition="0"/>
    </format>
    <format dxfId="33">
      <pivotArea dataOnly="0" labelOnly="1" outline="0" axis="axisValues" fieldPosition="0"/>
    </format>
    <format dxfId="32">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DFFDC3-BCB4-4839-9D38-0D35B86415D1}" autoFormatId="16" applyNumberFormats="0" applyBorderFormats="0" applyFontFormats="0" applyPatternFormats="0" applyAlignmentFormats="0" applyWidthHeightFormats="0">
  <queryTableRefresh nextId="20">
    <queryTableFields count="11">
      <queryTableField id="9" name="EmployeeID" tableColumnId="9"/>
      <queryTableField id="1" name="Department" tableColumnId="1"/>
      <queryTableField id="2" name="HireDate" tableColumnId="2"/>
      <queryTableField id="3" name="ExitDate" tableColumnId="3"/>
      <queryTableField id="4" name="Status" tableColumnId="4"/>
      <queryTableField id="16" dataBound="0" tableColumnId="11"/>
      <queryTableField id="18" dataBound="0" tableColumnId="13"/>
      <queryTableField id="5" name="Salary" tableColumnId="5"/>
      <queryTableField id="6" name="PerformanceScore" tableColumnId="6"/>
      <queryTableField id="7" name="EngagementScore" tableColumnId="7"/>
      <queryTableField id="8" name="AbsentDay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4D860C9-195F-41D5-B1CD-0021478AE30E}" sourceName="Department">
  <pivotTables>
    <pivotTable tabId="4" name="Avg Salary per Department"/>
    <pivotTable tabId="4" name="Attrition by Department"/>
    <pivotTable tabId="4" name="Attrition Rate"/>
    <pivotTable tabId="4" name="Average of AbsentDays"/>
    <pivotTable tabId="4" name="Average of EngagementScore"/>
    <pivotTable tabId="4" name="Average of EngagementScore per ex"/>
    <pivotTable tabId="4" name="Average of PerformanceScore"/>
    <pivotTable tabId="4" name="Average of PerformanceScore per ex"/>
    <pivotTable tabId="4" name="Average of Salary"/>
    <pivotTable tabId="4" name="Average Tenure"/>
    <pivotTable tabId="4" name="PivotTable12"/>
    <pivotTable tabId="4" name="PivotTable14"/>
    <pivotTable tabId="4" name="Total Employees"/>
    <pivotTable tabId="4" name="PivotTable16"/>
  </pivotTables>
  <data>
    <tabular pivotCacheId="1197856866">
      <items count="6">
        <i x="1" s="1"/>
        <i x="4" s="1"/>
        <i x="2"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Status" xr10:uid="{E6242474-C985-468D-B484-31FD0117C801}" sourceName=" Employee Status">
  <pivotTables>
    <pivotTable tabId="4" name="PivotTable14"/>
    <pivotTable tabId="4" name="Attrition by Department"/>
    <pivotTable tabId="4" name="Attrition Rate"/>
    <pivotTable tabId="4" name="Average of AbsentDays"/>
    <pivotTable tabId="4" name="Average of EngagementScore"/>
    <pivotTable tabId="4" name="Average of EngagementScore per ex"/>
    <pivotTable tabId="4" name="Average of PerformanceScore"/>
    <pivotTable tabId="4" name="Average of PerformanceScore per ex"/>
    <pivotTable tabId="4" name="Average of Salary"/>
    <pivotTable tabId="4" name="Average Tenure"/>
    <pivotTable tabId="4" name="Avg Salary per Department"/>
    <pivotTable tabId="4" name="PivotTable12"/>
    <pivotTable tabId="4" name="Total Employees"/>
    <pivotTable tabId="4" name="PivotTable16"/>
  </pivotTables>
  <data>
    <tabular pivotCacheId="11978568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CF00C1F-2A67-4BFB-A2F4-6FAC3A32B8EC}" cache="Slicer_Department" caption="Department" columnCount="2" showCaption="0" style="SlicerStyleDark5" rowHeight="234950"/>
  <slicer name=" Employee Status" xr10:uid="{6737DFE9-833A-4C7D-8859-7BC50B437781}" cache="Slicer_Employee_Status" caption=" Employee Status" columnCount="2" showCaption="0"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7D681-ED46-449E-82B9-F527FE99444C}" name="HR" displayName="HR" ref="A1:K724" tableType="queryTable" totalsRowShown="0">
  <autoFilter ref="A1:K724" xr:uid="{B437D681-ED46-449E-82B9-F527FE99444C}"/>
  <tableColumns count="11">
    <tableColumn id="9" xr3:uid="{A5CF6180-A5F6-4EB9-8DBB-A167F00F5064}" uniqueName="9" name="EmployeeID" queryTableFieldId="9" dataDxfId="45"/>
    <tableColumn id="1" xr3:uid="{93555F05-1770-4387-AB8E-8BCDAA2E2AA0}" uniqueName="1" name="Department" queryTableFieldId="1" dataDxfId="44"/>
    <tableColumn id="2" xr3:uid="{F8F913DF-2477-4055-9381-A3A998F2D56C}" uniqueName="2" name="HireDate" queryTableFieldId="2" dataDxfId="43"/>
    <tableColumn id="3" xr3:uid="{BEFD5378-B795-4098-A3F4-7E17EB18BCF5}" uniqueName="3" name="ExitDate" queryTableFieldId="3" dataDxfId="42"/>
    <tableColumn id="4" xr3:uid="{9A8CF22F-0424-48AA-A1B4-1763EA271D59}" uniqueName="4" name=" Employee Status" queryTableFieldId="4" dataDxfId="41"/>
    <tableColumn id="11" xr3:uid="{D7F10A9D-5402-4E89-B128-5A7B67102D1F}" uniqueName="11" name="Tenure" queryTableFieldId="16" dataDxfId="40">
      <calculatedColumnFormula>IF(HR[[#This Row],[ Employee Status]]="exited",HR[[#This Row],[ExitDate]]-HR[[#This Row],[HireDate]],TODAY()-HR[[#This Row],[HireDate]])/365</calculatedColumnFormula>
    </tableColumn>
    <tableColumn id="13" xr3:uid="{0C2665AC-C9F5-4CDC-A950-A047D9C9FD16}" uniqueName="13" name="Exit Year" queryTableFieldId="18" dataDxfId="39">
      <calculatedColumnFormula>IF(HR[[#This Row],[ Employee Status]]="still working","",YEAR(HR[[#This Row],[ExitDate]]))</calculatedColumnFormula>
    </tableColumn>
    <tableColumn id="5" xr3:uid="{3C0AF296-4FAC-4922-AE4A-291489F46B3E}" uniqueName="5" name="Salary" queryTableFieldId="5" dataDxfId="38"/>
    <tableColumn id="6" xr3:uid="{AE3E67B1-8A8B-4647-8807-74085099E360}" uniqueName="6" name="PerformanceScore" queryTableFieldId="6" dataDxfId="37"/>
    <tableColumn id="7" xr3:uid="{739D706B-33F4-47D1-B475-169B866C8B54}" uniqueName="7" name="EngagementScore" queryTableFieldId="7" dataDxfId="36"/>
    <tableColumn id="8" xr3:uid="{18186206-CAC1-4062-9EEC-469D4B0686DA}" uniqueName="8" name="AbsentDays" queryTableFieldId="8" dataDxfId="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xitDate" xr10:uid="{62F7AF4A-B7F5-45F0-82FD-D58F67CB511E}" sourceName="ExitDate">
  <pivotTables>
    <pivotTable tabId="4" name="PivotTable16"/>
    <pivotTable tabId="4" name="Attrition by Department"/>
    <pivotTable tabId="4" name="Attrition Rate"/>
    <pivotTable tabId="4" name="Average of AbsentDays"/>
    <pivotTable tabId="4" name="Average of EngagementScore"/>
    <pivotTable tabId="4" name="Average of EngagementScore per ex"/>
    <pivotTable tabId="4" name="Average of PerformanceScore"/>
    <pivotTable tabId="4" name="Average of PerformanceScore per ex"/>
    <pivotTable tabId="4" name="Average of Salary"/>
    <pivotTable tabId="4" name="Average Tenure"/>
    <pivotTable tabId="4" name="Avg Salary per Department"/>
    <pivotTable tabId="4" name="PivotTable12"/>
    <pivotTable tabId="4" name="PivotTable14"/>
    <pivotTable tabId="4" name="PivotTable15"/>
    <pivotTable tabId="4" name="Total Employees"/>
  </pivotTables>
  <state minimalRefreshVersion="6" lastRefreshVersion="6" pivotCacheId="1197856866" filterType="unknown">
    <bounds startDate="2018-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xitDate" xr10:uid="{188E40DA-8EC1-4104-AA50-8DF62BDBCBB4}" cache="NativeTimeline_ExitDate" caption="ExitDate" level="0" selectionLevel="0" scrollPosition="2018-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983C-E33A-4E5C-9103-542C0F2BA00C}">
  <dimension ref="A1:K724"/>
  <sheetViews>
    <sheetView topLeftCell="B46" workbookViewId="0">
      <selection activeCell="F46" sqref="F46"/>
    </sheetView>
  </sheetViews>
  <sheetFormatPr defaultRowHeight="14.4" x14ac:dyDescent="0.3"/>
  <cols>
    <col min="1" max="1" width="13.33203125" style="4" bestFit="1" customWidth="1"/>
    <col min="2" max="2" width="13.33203125" bestFit="1" customWidth="1"/>
    <col min="3" max="3" width="10.44140625" bestFit="1" customWidth="1"/>
    <col min="4" max="4" width="10.109375" bestFit="1" customWidth="1"/>
    <col min="5" max="5" width="17.77734375" bestFit="1" customWidth="1"/>
    <col min="6" max="6" width="17.77734375" style="11" customWidth="1"/>
    <col min="7" max="7" width="17.77734375" style="4" customWidth="1"/>
    <col min="8" max="8" width="10" style="6" bestFit="1" customWidth="1"/>
    <col min="9" max="9" width="18.88671875" style="10" bestFit="1" customWidth="1"/>
    <col min="10" max="10" width="18.5546875" style="10" bestFit="1" customWidth="1"/>
    <col min="11" max="11" width="13.109375" bestFit="1" customWidth="1"/>
    <col min="12" max="12" width="18.5546875" bestFit="1" customWidth="1"/>
    <col min="13" max="13" width="13.109375" customWidth="1"/>
  </cols>
  <sheetData>
    <row r="1" spans="1:11" x14ac:dyDescent="0.3">
      <c r="A1" s="4" t="s">
        <v>17</v>
      </c>
      <c r="B1" t="s">
        <v>0</v>
      </c>
      <c r="C1" t="s">
        <v>1</v>
      </c>
      <c r="D1" t="s">
        <v>2</v>
      </c>
      <c r="E1" t="s">
        <v>20</v>
      </c>
      <c r="F1" s="11" t="s">
        <v>26</v>
      </c>
      <c r="G1" s="4" t="s">
        <v>40</v>
      </c>
      <c r="H1" s="6" t="s">
        <v>3</v>
      </c>
      <c r="I1" s="10" t="s">
        <v>4</v>
      </c>
      <c r="J1" s="10" t="s">
        <v>5</v>
      </c>
      <c r="K1" t="s">
        <v>6</v>
      </c>
    </row>
    <row r="2" spans="1:11" x14ac:dyDescent="0.3">
      <c r="A2" s="4">
        <v>1</v>
      </c>
      <c r="B2" t="s">
        <v>7</v>
      </c>
      <c r="C2" s="1">
        <v>45265</v>
      </c>
      <c r="D2" s="1"/>
      <c r="E2" t="s">
        <v>8</v>
      </c>
      <c r="F2" s="11">
        <f ca="1">IF(HR[[#This Row],[ Employee Status]]="exited",HR[[#This Row],[ExitDate]]-HR[[#This Row],[HireDate]],TODAY()-HR[[#This Row],[HireDate]])/365</f>
        <v>2.5890410958904111</v>
      </c>
      <c r="G2" s="4" t="str">
        <f>IF(HR[[#This Row],[ Employee Status]]="still working","",YEAR(HR[[#This Row],[ExitDate]]))</f>
        <v/>
      </c>
      <c r="H2" s="6">
        <v>8390</v>
      </c>
      <c r="I2" s="10">
        <v>2.4700000000000002</v>
      </c>
      <c r="J2" s="10">
        <v>1.62</v>
      </c>
      <c r="K2" s="4">
        <v>10</v>
      </c>
    </row>
    <row r="3" spans="1:11" x14ac:dyDescent="0.3">
      <c r="A3" s="4">
        <v>2</v>
      </c>
      <c r="B3" t="s">
        <v>7</v>
      </c>
      <c r="C3" s="1">
        <v>43522</v>
      </c>
      <c r="D3" s="1"/>
      <c r="E3" t="s">
        <v>8</v>
      </c>
      <c r="F3" s="11">
        <f ca="1">IF(HR[[#This Row],[ Employee Status]]="exited",HR[[#This Row],[ExitDate]]-HR[[#This Row],[HireDate]],TODAY()-HR[[#This Row],[HireDate]])/365</f>
        <v>7.3643835616438356</v>
      </c>
      <c r="G3" s="4" t="str">
        <f>IF(HR[[#This Row],[ Employee Status]]="still working","",YEAR(HR[[#This Row],[ExitDate]]))</f>
        <v/>
      </c>
      <c r="H3" s="6">
        <v>14363</v>
      </c>
      <c r="I3" s="10">
        <v>2.17</v>
      </c>
      <c r="J3" s="10">
        <v>3.89</v>
      </c>
      <c r="K3" s="4">
        <v>29</v>
      </c>
    </row>
    <row r="4" spans="1:11" x14ac:dyDescent="0.3">
      <c r="A4" s="4">
        <v>3</v>
      </c>
      <c r="B4" t="s">
        <v>9</v>
      </c>
      <c r="C4" s="1">
        <v>45030</v>
      </c>
      <c r="D4" s="1"/>
      <c r="E4" t="s">
        <v>8</v>
      </c>
      <c r="F4" s="11">
        <f ca="1">IF(HR[[#This Row],[ Employee Status]]="exited",HR[[#This Row],[ExitDate]]-HR[[#This Row],[HireDate]],TODAY()-HR[[#This Row],[HireDate]])/365</f>
        <v>3.2328767123287672</v>
      </c>
      <c r="G4" s="4" t="str">
        <f>IF(HR[[#This Row],[ Employee Status]]="still working","",YEAR(HR[[#This Row],[ExitDate]]))</f>
        <v/>
      </c>
      <c r="H4" s="6">
        <v>9420</v>
      </c>
      <c r="I4" s="10">
        <v>2.02</v>
      </c>
      <c r="J4" s="10">
        <v>1.0900000000000001</v>
      </c>
      <c r="K4" s="4">
        <v>26</v>
      </c>
    </row>
    <row r="5" spans="1:11" x14ac:dyDescent="0.3">
      <c r="A5" s="4">
        <v>4</v>
      </c>
      <c r="B5" t="s">
        <v>10</v>
      </c>
      <c r="C5" s="1">
        <v>45185</v>
      </c>
      <c r="D5" s="1"/>
      <c r="E5" t="s">
        <v>8</v>
      </c>
      <c r="F5" s="11">
        <f ca="1">IF(HR[[#This Row],[ Employee Status]]="exited",HR[[#This Row],[ExitDate]]-HR[[#This Row],[HireDate]],TODAY()-HR[[#This Row],[HireDate]])/365</f>
        <v>2.8082191780821919</v>
      </c>
      <c r="G5" s="4" t="str">
        <f>IF(HR[[#This Row],[ Employee Status]]="still working","",YEAR(HR[[#This Row],[ExitDate]]))</f>
        <v/>
      </c>
      <c r="H5" s="6">
        <v>5047</v>
      </c>
      <c r="I5" s="10">
        <v>3.37</v>
      </c>
      <c r="J5" s="10">
        <v>4.1399999999999997</v>
      </c>
      <c r="K5" s="4">
        <v>18</v>
      </c>
    </row>
    <row r="6" spans="1:11" x14ac:dyDescent="0.3">
      <c r="A6" s="4">
        <v>5</v>
      </c>
      <c r="B6" t="s">
        <v>9</v>
      </c>
      <c r="C6" s="1">
        <v>44787</v>
      </c>
      <c r="D6" s="1"/>
      <c r="E6" t="s">
        <v>8</v>
      </c>
      <c r="F6" s="11">
        <f ca="1">IF(HR[[#This Row],[ Employee Status]]="exited",HR[[#This Row],[ExitDate]]-HR[[#This Row],[HireDate]],TODAY()-HR[[#This Row],[HireDate]])/365</f>
        <v>3.8986301369863012</v>
      </c>
      <c r="G6" s="4" t="str">
        <f>IF(HR[[#This Row],[ Employee Status]]="still working","",YEAR(HR[[#This Row],[ExitDate]]))</f>
        <v/>
      </c>
      <c r="H6" s="6">
        <v>8960</v>
      </c>
      <c r="I6" s="10">
        <v>2.5099999999999998</v>
      </c>
      <c r="J6" s="10">
        <v>1.26</v>
      </c>
      <c r="K6" s="4">
        <v>3</v>
      </c>
    </row>
    <row r="7" spans="1:11" x14ac:dyDescent="0.3">
      <c r="A7" s="4">
        <v>6</v>
      </c>
      <c r="B7" t="s">
        <v>11</v>
      </c>
      <c r="C7" s="1">
        <v>44859</v>
      </c>
      <c r="D7" s="1">
        <v>45059</v>
      </c>
      <c r="E7" t="s">
        <v>12</v>
      </c>
      <c r="F7" s="11">
        <f ca="1">IF(HR[[#This Row],[ Employee Status]]="exited",HR[[#This Row],[ExitDate]]-HR[[#This Row],[HireDate]],TODAY()-HR[[#This Row],[HireDate]])/365</f>
        <v>0.54794520547945202</v>
      </c>
      <c r="G7" s="4">
        <f>IF(HR[[#This Row],[ Employee Status]]="still working","",YEAR(HR[[#This Row],[ExitDate]]))</f>
        <v>2023</v>
      </c>
      <c r="H7" s="6">
        <v>11433</v>
      </c>
      <c r="I7" s="10">
        <v>2.69</v>
      </c>
      <c r="J7" s="10">
        <v>1.96</v>
      </c>
      <c r="K7" s="4">
        <v>27</v>
      </c>
    </row>
    <row r="8" spans="1:11" x14ac:dyDescent="0.3">
      <c r="A8" s="4">
        <v>7</v>
      </c>
      <c r="B8" t="s">
        <v>7</v>
      </c>
      <c r="C8" s="1">
        <v>44697</v>
      </c>
      <c r="D8" s="1"/>
      <c r="E8" t="s">
        <v>8</v>
      </c>
      <c r="F8" s="11">
        <f ca="1">IF(HR[[#This Row],[ Employee Status]]="exited",HR[[#This Row],[ExitDate]]-HR[[#This Row],[HireDate]],TODAY()-HR[[#This Row],[HireDate]])/365</f>
        <v>4.1452054794520548</v>
      </c>
      <c r="G8" s="4" t="str">
        <f>IF(HR[[#This Row],[ Employee Status]]="still working","",YEAR(HR[[#This Row],[ExitDate]]))</f>
        <v/>
      </c>
      <c r="H8" s="6">
        <v>8960</v>
      </c>
      <c r="I8" s="10">
        <v>2.78</v>
      </c>
      <c r="J8" s="10">
        <v>3.65</v>
      </c>
      <c r="K8" s="4">
        <v>1</v>
      </c>
    </row>
    <row r="9" spans="1:11" x14ac:dyDescent="0.3">
      <c r="A9" s="4">
        <v>8</v>
      </c>
      <c r="B9" t="s">
        <v>11</v>
      </c>
      <c r="C9" s="1">
        <v>44515</v>
      </c>
      <c r="D9" s="1"/>
      <c r="E9" t="s">
        <v>8</v>
      </c>
      <c r="F9" s="11">
        <f ca="1">IF(HR[[#This Row],[ Employee Status]]="exited",HR[[#This Row],[ExitDate]]-HR[[#This Row],[HireDate]],TODAY()-HR[[#This Row],[HireDate]])/365</f>
        <v>4.6438356164383565</v>
      </c>
      <c r="G9" s="4" t="str">
        <f>IF(HR[[#This Row],[ Employee Status]]="still working","",YEAR(HR[[#This Row],[ExitDate]]))</f>
        <v/>
      </c>
      <c r="H9" s="6">
        <v>6843</v>
      </c>
      <c r="I9" s="10">
        <v>4.33</v>
      </c>
      <c r="J9" s="10">
        <v>4.76</v>
      </c>
      <c r="K9" s="4">
        <v>29</v>
      </c>
    </row>
    <row r="10" spans="1:11" x14ac:dyDescent="0.3">
      <c r="A10" s="4">
        <v>9</v>
      </c>
      <c r="B10" t="s">
        <v>11</v>
      </c>
      <c r="C10" s="1">
        <v>43818</v>
      </c>
      <c r="D10" s="1">
        <v>45280</v>
      </c>
      <c r="E10" t="s">
        <v>12</v>
      </c>
      <c r="F10" s="11">
        <f ca="1">IF(HR[[#This Row],[ Employee Status]]="exited",HR[[#This Row],[ExitDate]]-HR[[#This Row],[HireDate]],TODAY()-HR[[#This Row],[HireDate]])/365</f>
        <v>4.0054794520547947</v>
      </c>
      <c r="G10" s="4">
        <f>IF(HR[[#This Row],[ Employee Status]]="still working","",YEAR(HR[[#This Row],[ExitDate]]))</f>
        <v>2023</v>
      </c>
      <c r="H10" s="6">
        <v>14990</v>
      </c>
      <c r="I10" s="10">
        <v>4.53</v>
      </c>
      <c r="J10" s="10">
        <v>3.99</v>
      </c>
      <c r="K10" s="4">
        <v>14</v>
      </c>
    </row>
    <row r="11" spans="1:11" x14ac:dyDescent="0.3">
      <c r="A11" s="4">
        <v>10</v>
      </c>
      <c r="B11" t="s">
        <v>10</v>
      </c>
      <c r="C11" s="1">
        <v>43844</v>
      </c>
      <c r="D11" s="1">
        <v>44849</v>
      </c>
      <c r="E11" t="s">
        <v>12</v>
      </c>
      <c r="F11" s="11">
        <f ca="1">IF(HR[[#This Row],[ Employee Status]]="exited",HR[[#This Row],[ExitDate]]-HR[[#This Row],[HireDate]],TODAY()-HR[[#This Row],[HireDate]])/365</f>
        <v>2.7534246575342465</v>
      </c>
      <c r="G11" s="4">
        <f>IF(HR[[#This Row],[ Employee Status]]="still working","",YEAR(HR[[#This Row],[ExitDate]]))</f>
        <v>2022</v>
      </c>
      <c r="H11" s="6">
        <v>7859</v>
      </c>
      <c r="I11" s="10">
        <v>2.89</v>
      </c>
      <c r="J11" s="10">
        <v>1.66</v>
      </c>
      <c r="K11" s="4">
        <v>24</v>
      </c>
    </row>
    <row r="12" spans="1:11" x14ac:dyDescent="0.3">
      <c r="A12" s="4">
        <v>11</v>
      </c>
      <c r="B12" t="s">
        <v>13</v>
      </c>
      <c r="C12" s="1">
        <v>43450</v>
      </c>
      <c r="D12" s="1">
        <v>44924</v>
      </c>
      <c r="E12" t="s">
        <v>12</v>
      </c>
      <c r="F12" s="11">
        <f ca="1">IF(HR[[#This Row],[ Employee Status]]="exited",HR[[#This Row],[ExitDate]]-HR[[#This Row],[HireDate]],TODAY()-HR[[#This Row],[HireDate]])/365</f>
        <v>4.0383561643835613</v>
      </c>
      <c r="G12" s="4">
        <f>IF(HR[[#This Row],[ Employee Status]]="still working","",YEAR(HR[[#This Row],[ExitDate]]))</f>
        <v>2022</v>
      </c>
      <c r="H12" s="6">
        <v>5027</v>
      </c>
      <c r="I12" s="10">
        <v>2.6</v>
      </c>
      <c r="J12" s="10">
        <v>3.85</v>
      </c>
      <c r="K12" s="4">
        <v>2</v>
      </c>
    </row>
    <row r="13" spans="1:11" x14ac:dyDescent="0.3">
      <c r="A13" s="4">
        <v>12</v>
      </c>
      <c r="B13" t="s">
        <v>7</v>
      </c>
      <c r="C13" s="1">
        <v>43293</v>
      </c>
      <c r="D13" s="1">
        <v>44350</v>
      </c>
      <c r="E13" t="s">
        <v>12</v>
      </c>
      <c r="F13" s="11">
        <f ca="1">IF(HR[[#This Row],[ Employee Status]]="exited",HR[[#This Row],[ExitDate]]-HR[[#This Row],[HireDate]],TODAY()-HR[[#This Row],[HireDate]])/365</f>
        <v>2.8958904109589043</v>
      </c>
      <c r="G13" s="4">
        <f>IF(HR[[#This Row],[ Employee Status]]="still working","",YEAR(HR[[#This Row],[ExitDate]]))</f>
        <v>2021</v>
      </c>
      <c r="H13" s="6">
        <v>6561</v>
      </c>
      <c r="I13" s="10">
        <v>4.59</v>
      </c>
      <c r="J13" s="10">
        <v>3.49</v>
      </c>
      <c r="K13" s="4">
        <v>1</v>
      </c>
    </row>
    <row r="14" spans="1:11" x14ac:dyDescent="0.3">
      <c r="A14" s="4">
        <v>13</v>
      </c>
      <c r="B14" t="s">
        <v>11</v>
      </c>
      <c r="C14" s="1">
        <v>45437</v>
      </c>
      <c r="D14" s="1"/>
      <c r="E14" t="s">
        <v>8</v>
      </c>
      <c r="F14" s="11">
        <f ca="1">IF(HR[[#This Row],[ Employee Status]]="exited",HR[[#This Row],[ExitDate]]-HR[[#This Row],[HireDate]],TODAY()-HR[[#This Row],[HireDate]])/365</f>
        <v>2.117808219178082</v>
      </c>
      <c r="G14" s="4" t="str">
        <f>IF(HR[[#This Row],[ Employee Status]]="still working","",YEAR(HR[[#This Row],[ExitDate]]))</f>
        <v/>
      </c>
      <c r="H14" s="6">
        <v>11996</v>
      </c>
      <c r="I14" s="10">
        <v>4.66</v>
      </c>
      <c r="J14" s="10">
        <v>2.89</v>
      </c>
      <c r="K14" s="4">
        <v>4</v>
      </c>
    </row>
    <row r="15" spans="1:11" x14ac:dyDescent="0.3">
      <c r="A15" s="4">
        <v>14</v>
      </c>
      <c r="B15" t="s">
        <v>14</v>
      </c>
      <c r="C15" s="1">
        <v>44062</v>
      </c>
      <c r="D15" s="1">
        <v>44993</v>
      </c>
      <c r="E15" t="s">
        <v>12</v>
      </c>
      <c r="F15" s="11">
        <f ca="1">IF(HR[[#This Row],[ Employee Status]]="exited",HR[[#This Row],[ExitDate]]-HR[[#This Row],[HireDate]],TODAY()-HR[[#This Row],[HireDate]])/365</f>
        <v>2.5506849315068494</v>
      </c>
      <c r="G15" s="4">
        <f>IF(HR[[#This Row],[ Employee Status]]="still working","",YEAR(HR[[#This Row],[ExitDate]]))</f>
        <v>2023</v>
      </c>
      <c r="H15" s="6">
        <v>6840</v>
      </c>
      <c r="I15" s="10">
        <v>2.77</v>
      </c>
      <c r="J15" s="10">
        <v>1.1599999999999999</v>
      </c>
      <c r="K15" s="4">
        <v>14</v>
      </c>
    </row>
    <row r="16" spans="1:11" x14ac:dyDescent="0.3">
      <c r="A16" s="4">
        <v>15</v>
      </c>
      <c r="B16" t="s">
        <v>10</v>
      </c>
      <c r="C16" s="1">
        <v>45403</v>
      </c>
      <c r="D16" s="1"/>
      <c r="E16" t="s">
        <v>8</v>
      </c>
      <c r="F16" s="11">
        <f ca="1">IF(HR[[#This Row],[ Employee Status]]="exited",HR[[#This Row],[ExitDate]]-HR[[#This Row],[HireDate]],TODAY()-HR[[#This Row],[HireDate]])/365</f>
        <v>2.2109589041095892</v>
      </c>
      <c r="G16" s="4" t="str">
        <f>IF(HR[[#This Row],[ Employee Status]]="still working","",YEAR(HR[[#This Row],[ExitDate]]))</f>
        <v/>
      </c>
      <c r="H16" s="6">
        <v>10035</v>
      </c>
      <c r="I16" s="10">
        <v>3.91</v>
      </c>
      <c r="J16" s="10">
        <v>2.2599999999999998</v>
      </c>
      <c r="K16" s="4">
        <v>3</v>
      </c>
    </row>
    <row r="17" spans="1:11" x14ac:dyDescent="0.3">
      <c r="A17" s="4">
        <v>16</v>
      </c>
      <c r="B17" t="s">
        <v>7</v>
      </c>
      <c r="C17" s="1">
        <v>44003</v>
      </c>
      <c r="D17" s="1">
        <v>44991</v>
      </c>
      <c r="E17" t="s">
        <v>12</v>
      </c>
      <c r="F17" s="11">
        <f ca="1">IF(HR[[#This Row],[ Employee Status]]="exited",HR[[#This Row],[ExitDate]]-HR[[#This Row],[HireDate]],TODAY()-HR[[#This Row],[HireDate]])/365</f>
        <v>2.7068493150684931</v>
      </c>
      <c r="G17" s="4">
        <f>IF(HR[[#This Row],[ Employee Status]]="still working","",YEAR(HR[[#This Row],[ExitDate]]))</f>
        <v>2023</v>
      </c>
      <c r="H17" s="6">
        <v>4678</v>
      </c>
      <c r="I17" s="10">
        <v>2.23</v>
      </c>
      <c r="J17" s="10">
        <v>2.16</v>
      </c>
      <c r="K17" s="4">
        <v>21</v>
      </c>
    </row>
    <row r="18" spans="1:11" x14ac:dyDescent="0.3">
      <c r="A18" s="4">
        <v>17</v>
      </c>
      <c r="B18" t="s">
        <v>10</v>
      </c>
      <c r="C18" s="1">
        <v>45048</v>
      </c>
      <c r="D18" s="1">
        <v>46441</v>
      </c>
      <c r="E18" t="s">
        <v>12</v>
      </c>
      <c r="F18" s="11">
        <f ca="1">IF(HR[[#This Row],[ Employee Status]]="exited",HR[[#This Row],[ExitDate]]-HR[[#This Row],[HireDate]],TODAY()-HR[[#This Row],[HireDate]])/365</f>
        <v>3.8164383561643835</v>
      </c>
      <c r="G18" s="4">
        <f>IF(HR[[#This Row],[ Employee Status]]="still working","",YEAR(HR[[#This Row],[ExitDate]]))</f>
        <v>2027</v>
      </c>
      <c r="H18" s="6">
        <v>12789</v>
      </c>
      <c r="I18" s="10">
        <v>4.41</v>
      </c>
      <c r="J18" s="10">
        <v>1.75</v>
      </c>
      <c r="K18" s="4">
        <v>29</v>
      </c>
    </row>
    <row r="19" spans="1:11" x14ac:dyDescent="0.3">
      <c r="A19" s="4">
        <v>18</v>
      </c>
      <c r="B19" t="s">
        <v>10</v>
      </c>
      <c r="C19" s="1">
        <v>44011</v>
      </c>
      <c r="D19" s="1">
        <v>44226</v>
      </c>
      <c r="E19" t="s">
        <v>12</v>
      </c>
      <c r="F19" s="11">
        <f ca="1">IF(HR[[#This Row],[ Employee Status]]="exited",HR[[#This Row],[ExitDate]]-HR[[#This Row],[HireDate]],TODAY()-HR[[#This Row],[HireDate]])/365</f>
        <v>0.58904109589041098</v>
      </c>
      <c r="G19" s="4">
        <f>IF(HR[[#This Row],[ Employee Status]]="still working","",YEAR(HR[[#This Row],[ExitDate]]))</f>
        <v>2021</v>
      </c>
      <c r="H19" s="6">
        <v>13230</v>
      </c>
      <c r="I19" s="10">
        <v>2.33</v>
      </c>
      <c r="J19" s="10">
        <v>1.91</v>
      </c>
      <c r="K19" s="4">
        <v>29</v>
      </c>
    </row>
    <row r="20" spans="1:11" x14ac:dyDescent="0.3">
      <c r="A20" s="4">
        <v>19</v>
      </c>
      <c r="B20" t="s">
        <v>7</v>
      </c>
      <c r="C20" s="1">
        <v>44316</v>
      </c>
      <c r="D20" s="1"/>
      <c r="E20" t="s">
        <v>8</v>
      </c>
      <c r="F20" s="11">
        <f ca="1">IF(HR[[#This Row],[ Employee Status]]="exited",HR[[#This Row],[ExitDate]]-HR[[#This Row],[HireDate]],TODAY()-HR[[#This Row],[HireDate]])/365</f>
        <v>5.1890410958904107</v>
      </c>
      <c r="G20" s="4" t="str">
        <f>IF(HR[[#This Row],[ Employee Status]]="still working","",YEAR(HR[[#This Row],[ExitDate]]))</f>
        <v/>
      </c>
      <c r="H20" s="6">
        <v>8864</v>
      </c>
      <c r="I20" s="10">
        <v>3.6</v>
      </c>
      <c r="J20" s="10">
        <v>2.94</v>
      </c>
      <c r="K20" s="4">
        <v>0</v>
      </c>
    </row>
    <row r="21" spans="1:11" x14ac:dyDescent="0.3">
      <c r="A21" s="4">
        <v>20</v>
      </c>
      <c r="B21" t="s">
        <v>9</v>
      </c>
      <c r="C21" s="1">
        <v>45592</v>
      </c>
      <c r="D21" s="1"/>
      <c r="E21" t="s">
        <v>8</v>
      </c>
      <c r="F21" s="11">
        <f ca="1">IF(HR[[#This Row],[ Employee Status]]="exited",HR[[#This Row],[ExitDate]]-HR[[#This Row],[HireDate]],TODAY()-HR[[#This Row],[HireDate]])/365</f>
        <v>1.6931506849315068</v>
      </c>
      <c r="G21" s="4" t="str">
        <f>IF(HR[[#This Row],[ Employee Status]]="still working","",YEAR(HR[[#This Row],[ExitDate]]))</f>
        <v/>
      </c>
      <c r="H21" s="6">
        <v>3663</v>
      </c>
      <c r="I21" s="10">
        <v>3.56</v>
      </c>
      <c r="J21" s="10">
        <v>3.81</v>
      </c>
      <c r="K21" s="4">
        <v>16</v>
      </c>
    </row>
    <row r="22" spans="1:11" x14ac:dyDescent="0.3">
      <c r="A22" s="4">
        <v>21</v>
      </c>
      <c r="B22" t="s">
        <v>10</v>
      </c>
      <c r="C22" s="1">
        <v>44215</v>
      </c>
      <c r="D22" s="1"/>
      <c r="E22" t="s">
        <v>8</v>
      </c>
      <c r="F22" s="11">
        <f ca="1">IF(HR[[#This Row],[ Employee Status]]="exited",HR[[#This Row],[ExitDate]]-HR[[#This Row],[HireDate]],TODAY()-HR[[#This Row],[HireDate]])/365</f>
        <v>5.4657534246575343</v>
      </c>
      <c r="G22" s="4" t="str">
        <f>IF(HR[[#This Row],[ Employee Status]]="still working","",YEAR(HR[[#This Row],[ExitDate]]))</f>
        <v/>
      </c>
      <c r="H22" s="6">
        <v>4291</v>
      </c>
      <c r="I22" s="10">
        <v>2.9</v>
      </c>
      <c r="J22" s="10">
        <v>2.14</v>
      </c>
      <c r="K22" s="4">
        <v>16</v>
      </c>
    </row>
    <row r="23" spans="1:11" x14ac:dyDescent="0.3">
      <c r="A23" s="4">
        <v>22</v>
      </c>
      <c r="B23" t="s">
        <v>10</v>
      </c>
      <c r="C23" s="1">
        <v>43205</v>
      </c>
      <c r="D23" s="1"/>
      <c r="E23" t="s">
        <v>8</v>
      </c>
      <c r="F23" s="11">
        <f ca="1">IF(HR[[#This Row],[ Employee Status]]="exited",HR[[#This Row],[ExitDate]]-HR[[#This Row],[HireDate]],TODAY()-HR[[#This Row],[HireDate]])/365</f>
        <v>8.2328767123287676</v>
      </c>
      <c r="G23" s="4" t="str">
        <f>IF(HR[[#This Row],[ Employee Status]]="still working","",YEAR(HR[[#This Row],[ExitDate]]))</f>
        <v/>
      </c>
      <c r="H23" s="6">
        <v>7737</v>
      </c>
      <c r="I23" s="10">
        <v>3.04</v>
      </c>
      <c r="J23" s="10">
        <v>3.54</v>
      </c>
      <c r="K23" s="4">
        <v>29</v>
      </c>
    </row>
    <row r="24" spans="1:11" x14ac:dyDescent="0.3">
      <c r="A24" s="4">
        <v>23</v>
      </c>
      <c r="B24" t="s">
        <v>9</v>
      </c>
      <c r="C24" s="1">
        <v>45626</v>
      </c>
      <c r="D24" s="1"/>
      <c r="E24" t="s">
        <v>8</v>
      </c>
      <c r="F24" s="11">
        <f ca="1">IF(HR[[#This Row],[ Employee Status]]="exited",HR[[#This Row],[ExitDate]]-HR[[#This Row],[HireDate]],TODAY()-HR[[#This Row],[HireDate]])/365</f>
        <v>1.6</v>
      </c>
      <c r="G24" s="4" t="str">
        <f>IF(HR[[#This Row],[ Employee Status]]="still working","",YEAR(HR[[#This Row],[ExitDate]]))</f>
        <v/>
      </c>
      <c r="H24" s="6">
        <v>13969</v>
      </c>
      <c r="I24" s="10">
        <v>4.0199999999999996</v>
      </c>
      <c r="J24" s="10">
        <v>4.05</v>
      </c>
      <c r="K24" s="4">
        <v>26</v>
      </c>
    </row>
    <row r="25" spans="1:11" x14ac:dyDescent="0.3">
      <c r="A25" s="4">
        <v>24</v>
      </c>
      <c r="B25" t="s">
        <v>11</v>
      </c>
      <c r="C25" s="1">
        <v>45639</v>
      </c>
      <c r="D25" s="1"/>
      <c r="E25" t="s">
        <v>8</v>
      </c>
      <c r="F25" s="11">
        <f ca="1">IF(HR[[#This Row],[ Employee Status]]="exited",HR[[#This Row],[ExitDate]]-HR[[#This Row],[HireDate]],TODAY()-HR[[#This Row],[HireDate]])/365</f>
        <v>1.5643835616438355</v>
      </c>
      <c r="G25" s="4" t="str">
        <f>IF(HR[[#This Row],[ Employee Status]]="still working","",YEAR(HR[[#This Row],[ExitDate]]))</f>
        <v/>
      </c>
      <c r="H25" s="6">
        <v>5327</v>
      </c>
      <c r="I25" s="10">
        <v>3.2</v>
      </c>
      <c r="J25" s="10">
        <v>4.2699999999999996</v>
      </c>
      <c r="K25" s="4">
        <v>15</v>
      </c>
    </row>
    <row r="26" spans="1:11" x14ac:dyDescent="0.3">
      <c r="A26" s="4">
        <v>25</v>
      </c>
      <c r="B26" t="s">
        <v>9</v>
      </c>
      <c r="C26" s="1">
        <v>44381</v>
      </c>
      <c r="D26" s="1">
        <v>44723</v>
      </c>
      <c r="E26" t="s">
        <v>12</v>
      </c>
      <c r="F26" s="11">
        <f ca="1">IF(HR[[#This Row],[ Employee Status]]="exited",HR[[#This Row],[ExitDate]]-HR[[#This Row],[HireDate]],TODAY()-HR[[#This Row],[HireDate]])/365</f>
        <v>0.93698630136986305</v>
      </c>
      <c r="G26" s="4">
        <f>IF(HR[[#This Row],[ Employee Status]]="still working","",YEAR(HR[[#This Row],[ExitDate]]))</f>
        <v>2022</v>
      </c>
      <c r="H26" s="6">
        <v>7282</v>
      </c>
      <c r="I26" s="10">
        <v>3.77</v>
      </c>
      <c r="J26" s="10">
        <v>3.71</v>
      </c>
      <c r="K26" s="4">
        <v>18</v>
      </c>
    </row>
    <row r="27" spans="1:11" x14ac:dyDescent="0.3">
      <c r="A27" s="4">
        <v>26</v>
      </c>
      <c r="B27" t="s">
        <v>14</v>
      </c>
      <c r="C27" s="1">
        <v>44786</v>
      </c>
      <c r="D27" s="1"/>
      <c r="E27" t="s">
        <v>8</v>
      </c>
      <c r="F27" s="11">
        <f ca="1">IF(HR[[#This Row],[ Employee Status]]="exited",HR[[#This Row],[ExitDate]]-HR[[#This Row],[HireDate]],TODAY()-HR[[#This Row],[HireDate]])/365</f>
        <v>3.9013698630136986</v>
      </c>
      <c r="G27" s="4" t="str">
        <f>IF(HR[[#This Row],[ Employee Status]]="still working","",YEAR(HR[[#This Row],[ExitDate]]))</f>
        <v/>
      </c>
      <c r="H27" s="6">
        <v>14411</v>
      </c>
      <c r="I27" s="10">
        <v>4.07</v>
      </c>
      <c r="J27" s="10">
        <v>2.5499999999999998</v>
      </c>
      <c r="K27" s="4">
        <v>17</v>
      </c>
    </row>
    <row r="28" spans="1:11" x14ac:dyDescent="0.3">
      <c r="A28" s="4">
        <v>27</v>
      </c>
      <c r="B28" t="s">
        <v>14</v>
      </c>
      <c r="C28" s="1">
        <v>43636</v>
      </c>
      <c r="D28" s="1">
        <v>44524</v>
      </c>
      <c r="E28" t="s">
        <v>12</v>
      </c>
      <c r="F28" s="11">
        <f ca="1">IF(HR[[#This Row],[ Employee Status]]="exited",HR[[#This Row],[ExitDate]]-HR[[#This Row],[HireDate]],TODAY()-HR[[#This Row],[HireDate]])/365</f>
        <v>2.4328767123287673</v>
      </c>
      <c r="G28" s="4">
        <f>IF(HR[[#This Row],[ Employee Status]]="still working","",YEAR(HR[[#This Row],[ExitDate]]))</f>
        <v>2021</v>
      </c>
      <c r="H28" s="6">
        <v>11155</v>
      </c>
      <c r="I28" s="10">
        <v>3.62</v>
      </c>
      <c r="J28" s="10">
        <v>3.78</v>
      </c>
      <c r="K28" s="4">
        <v>6</v>
      </c>
    </row>
    <row r="29" spans="1:11" x14ac:dyDescent="0.3">
      <c r="A29" s="4">
        <v>28</v>
      </c>
      <c r="B29" t="s">
        <v>10</v>
      </c>
      <c r="C29" s="1">
        <v>43646</v>
      </c>
      <c r="D29" s="1"/>
      <c r="E29" t="s">
        <v>8</v>
      </c>
      <c r="F29" s="11">
        <f ca="1">IF(HR[[#This Row],[ Employee Status]]="exited",HR[[#This Row],[ExitDate]]-HR[[#This Row],[HireDate]],TODAY()-HR[[#This Row],[HireDate]])/365</f>
        <v>7.0246575342465754</v>
      </c>
      <c r="G29" s="4" t="str">
        <f>IF(HR[[#This Row],[ Employee Status]]="still working","",YEAR(HR[[#This Row],[ExitDate]]))</f>
        <v/>
      </c>
      <c r="H29" s="6">
        <v>11815</v>
      </c>
      <c r="I29" s="10">
        <v>2.73</v>
      </c>
      <c r="J29" s="10">
        <v>1.37</v>
      </c>
      <c r="K29" s="4">
        <v>11</v>
      </c>
    </row>
    <row r="30" spans="1:11" x14ac:dyDescent="0.3">
      <c r="A30" s="4">
        <v>29</v>
      </c>
      <c r="B30" t="s">
        <v>14</v>
      </c>
      <c r="C30" s="1">
        <v>43363</v>
      </c>
      <c r="D30" s="1"/>
      <c r="E30" t="s">
        <v>8</v>
      </c>
      <c r="F30" s="11">
        <f ca="1">IF(HR[[#This Row],[ Employee Status]]="exited",HR[[#This Row],[ExitDate]]-HR[[#This Row],[HireDate]],TODAY()-HR[[#This Row],[HireDate]])/365</f>
        <v>7.8</v>
      </c>
      <c r="G30" s="4" t="str">
        <f>IF(HR[[#This Row],[ Employee Status]]="still working","",YEAR(HR[[#This Row],[ExitDate]]))</f>
        <v/>
      </c>
      <c r="H30" s="6">
        <v>10158</v>
      </c>
      <c r="I30" s="10">
        <v>4.18</v>
      </c>
      <c r="J30" s="10">
        <v>4.59</v>
      </c>
      <c r="K30" s="4">
        <v>23</v>
      </c>
    </row>
    <row r="31" spans="1:11" x14ac:dyDescent="0.3">
      <c r="A31" s="4">
        <v>30</v>
      </c>
      <c r="B31" t="s">
        <v>13</v>
      </c>
      <c r="C31" s="1">
        <v>43714</v>
      </c>
      <c r="D31" s="1"/>
      <c r="E31" t="s">
        <v>8</v>
      </c>
      <c r="F31" s="11">
        <f ca="1">IF(HR[[#This Row],[ Employee Status]]="exited",HR[[#This Row],[ExitDate]]-HR[[#This Row],[HireDate]],TODAY()-HR[[#This Row],[HireDate]])/365</f>
        <v>6.838356164383562</v>
      </c>
      <c r="G31" s="4" t="str">
        <f>IF(HR[[#This Row],[ Employee Status]]="still working","",YEAR(HR[[#This Row],[ExitDate]]))</f>
        <v/>
      </c>
      <c r="H31" s="6">
        <v>4648</v>
      </c>
      <c r="I31" s="10">
        <v>3.82</v>
      </c>
      <c r="J31" s="10">
        <v>1.04</v>
      </c>
      <c r="K31" s="4">
        <v>29</v>
      </c>
    </row>
    <row r="32" spans="1:11" x14ac:dyDescent="0.3">
      <c r="A32" s="4">
        <v>31</v>
      </c>
      <c r="B32" t="s">
        <v>13</v>
      </c>
      <c r="C32" s="1">
        <v>44765</v>
      </c>
      <c r="D32" s="1">
        <v>45619</v>
      </c>
      <c r="E32" t="s">
        <v>12</v>
      </c>
      <c r="F32" s="11">
        <f ca="1">IF(HR[[#This Row],[ Employee Status]]="exited",HR[[#This Row],[ExitDate]]-HR[[#This Row],[HireDate]],TODAY()-HR[[#This Row],[HireDate]])/365</f>
        <v>2.3397260273972602</v>
      </c>
      <c r="G32" s="4">
        <f>IF(HR[[#This Row],[ Employee Status]]="still working","",YEAR(HR[[#This Row],[ExitDate]]))</f>
        <v>2024</v>
      </c>
      <c r="H32" s="6">
        <v>5961</v>
      </c>
      <c r="I32" s="10">
        <v>4.08</v>
      </c>
      <c r="J32" s="10">
        <v>3.61</v>
      </c>
      <c r="K32" s="4">
        <v>8</v>
      </c>
    </row>
    <row r="33" spans="1:11" x14ac:dyDescent="0.3">
      <c r="A33" s="4">
        <v>32</v>
      </c>
      <c r="B33" t="s">
        <v>9</v>
      </c>
      <c r="C33" s="1">
        <v>44126</v>
      </c>
      <c r="D33" s="1"/>
      <c r="E33" t="s">
        <v>8</v>
      </c>
      <c r="F33" s="11">
        <f ca="1">IF(HR[[#This Row],[ Employee Status]]="exited",HR[[#This Row],[ExitDate]]-HR[[#This Row],[HireDate]],TODAY()-HR[[#This Row],[HireDate]])/365</f>
        <v>5.7095890410958905</v>
      </c>
      <c r="G33" s="4" t="str">
        <f>IF(HR[[#This Row],[ Employee Status]]="still working","",YEAR(HR[[#This Row],[ExitDate]]))</f>
        <v/>
      </c>
      <c r="H33" s="6">
        <v>9944</v>
      </c>
      <c r="I33" s="10">
        <v>3.1</v>
      </c>
      <c r="J33" s="10">
        <v>3.98</v>
      </c>
      <c r="K33" s="4">
        <v>2</v>
      </c>
    </row>
    <row r="34" spans="1:11" x14ac:dyDescent="0.3">
      <c r="A34" s="4">
        <v>33</v>
      </c>
      <c r="B34" t="s">
        <v>13</v>
      </c>
      <c r="C34" s="1">
        <v>45424</v>
      </c>
      <c r="D34" s="1"/>
      <c r="E34" t="s">
        <v>8</v>
      </c>
      <c r="F34" s="11">
        <f ca="1">IF(HR[[#This Row],[ Employee Status]]="exited",HR[[#This Row],[ExitDate]]-HR[[#This Row],[HireDate]],TODAY()-HR[[#This Row],[HireDate]])/365</f>
        <v>2.1534246575342464</v>
      </c>
      <c r="G34" s="4" t="str">
        <f>IF(HR[[#This Row],[ Employee Status]]="still working","",YEAR(HR[[#This Row],[ExitDate]]))</f>
        <v/>
      </c>
      <c r="H34" s="6">
        <v>13927</v>
      </c>
      <c r="I34" s="10">
        <v>2.8</v>
      </c>
      <c r="J34" s="10">
        <v>1.98</v>
      </c>
      <c r="K34" s="4">
        <v>5</v>
      </c>
    </row>
    <row r="35" spans="1:11" x14ac:dyDescent="0.3">
      <c r="A35" s="4">
        <v>34</v>
      </c>
      <c r="B35" t="s">
        <v>14</v>
      </c>
      <c r="C35" s="1">
        <v>44160</v>
      </c>
      <c r="D35" s="1">
        <v>44725</v>
      </c>
      <c r="E35" t="s">
        <v>12</v>
      </c>
      <c r="F35" s="11">
        <f ca="1">IF(HR[[#This Row],[ Employee Status]]="exited",HR[[#This Row],[ExitDate]]-HR[[#This Row],[HireDate]],TODAY()-HR[[#This Row],[HireDate]])/365</f>
        <v>1.547945205479452</v>
      </c>
      <c r="G35" s="4">
        <f>IF(HR[[#This Row],[ Employee Status]]="still working","",YEAR(HR[[#This Row],[ExitDate]]))</f>
        <v>2022</v>
      </c>
      <c r="H35" s="6">
        <v>13677</v>
      </c>
      <c r="I35" s="10">
        <v>3.05</v>
      </c>
      <c r="J35" s="10">
        <v>3.58</v>
      </c>
      <c r="K35" s="4">
        <v>14</v>
      </c>
    </row>
    <row r="36" spans="1:11" x14ac:dyDescent="0.3">
      <c r="A36" s="4">
        <v>35</v>
      </c>
      <c r="B36" t="s">
        <v>7</v>
      </c>
      <c r="C36" s="1">
        <v>44131</v>
      </c>
      <c r="D36" s="1"/>
      <c r="E36" t="s">
        <v>8</v>
      </c>
      <c r="F36" s="11">
        <f ca="1">IF(HR[[#This Row],[ Employee Status]]="exited",HR[[#This Row],[ExitDate]]-HR[[#This Row],[HireDate]],TODAY()-HR[[#This Row],[HireDate]])/365</f>
        <v>5.6958904109589037</v>
      </c>
      <c r="G36" s="4" t="str">
        <f>IF(HR[[#This Row],[ Employee Status]]="still working","",YEAR(HR[[#This Row],[ExitDate]]))</f>
        <v/>
      </c>
      <c r="H36" s="6">
        <v>14259</v>
      </c>
      <c r="I36" s="10">
        <v>2.0699999999999998</v>
      </c>
      <c r="J36" s="10">
        <v>3.58</v>
      </c>
      <c r="K36" s="4">
        <v>16</v>
      </c>
    </row>
    <row r="37" spans="1:11" x14ac:dyDescent="0.3">
      <c r="A37" s="4">
        <v>36</v>
      </c>
      <c r="B37" t="s">
        <v>11</v>
      </c>
      <c r="C37" s="1">
        <v>43656</v>
      </c>
      <c r="D37" s="1">
        <v>44528</v>
      </c>
      <c r="E37" t="s">
        <v>12</v>
      </c>
      <c r="F37" s="11">
        <f ca="1">IF(HR[[#This Row],[ Employee Status]]="exited",HR[[#This Row],[ExitDate]]-HR[[#This Row],[HireDate]],TODAY()-HR[[#This Row],[HireDate]])/365</f>
        <v>2.3890410958904109</v>
      </c>
      <c r="G37" s="4">
        <f>IF(HR[[#This Row],[ Employee Status]]="still working","",YEAR(HR[[#This Row],[ExitDate]]))</f>
        <v>2021</v>
      </c>
      <c r="H37" s="6">
        <v>13716</v>
      </c>
      <c r="I37" s="10">
        <v>4.24</v>
      </c>
      <c r="J37" s="10">
        <v>4.8099999999999996</v>
      </c>
      <c r="K37" s="4">
        <v>28</v>
      </c>
    </row>
    <row r="38" spans="1:11" x14ac:dyDescent="0.3">
      <c r="A38" s="4">
        <v>37</v>
      </c>
      <c r="B38" t="s">
        <v>7</v>
      </c>
      <c r="C38" s="1">
        <v>43749</v>
      </c>
      <c r="D38" s="1"/>
      <c r="E38" t="s">
        <v>8</v>
      </c>
      <c r="F38" s="11">
        <f ca="1">IF(HR[[#This Row],[ Employee Status]]="exited",HR[[#This Row],[ExitDate]]-HR[[#This Row],[HireDate]],TODAY()-HR[[#This Row],[HireDate]])/365</f>
        <v>6.7424657534246579</v>
      </c>
      <c r="G38" s="4" t="str">
        <f>IF(HR[[#This Row],[ Employee Status]]="still working","",YEAR(HR[[#This Row],[ExitDate]]))</f>
        <v/>
      </c>
      <c r="H38" s="6">
        <v>3606</v>
      </c>
      <c r="I38" s="10">
        <v>2.88</v>
      </c>
      <c r="J38" s="10">
        <v>2.54</v>
      </c>
      <c r="K38" s="4">
        <v>22</v>
      </c>
    </row>
    <row r="39" spans="1:11" x14ac:dyDescent="0.3">
      <c r="A39" s="4">
        <v>38</v>
      </c>
      <c r="B39" t="s">
        <v>14</v>
      </c>
      <c r="C39" s="1">
        <v>44486</v>
      </c>
      <c r="D39" s="1"/>
      <c r="E39" t="s">
        <v>8</v>
      </c>
      <c r="F39" s="11">
        <f ca="1">IF(HR[[#This Row],[ Employee Status]]="exited",HR[[#This Row],[ExitDate]]-HR[[#This Row],[HireDate]],TODAY()-HR[[#This Row],[HireDate]])/365</f>
        <v>4.7232876712328764</v>
      </c>
      <c r="G39" s="4" t="str">
        <f>IF(HR[[#This Row],[ Employee Status]]="still working","",YEAR(HR[[#This Row],[ExitDate]]))</f>
        <v/>
      </c>
      <c r="H39" s="6">
        <v>11319</v>
      </c>
      <c r="I39" s="10">
        <v>4.53</v>
      </c>
      <c r="J39" s="10">
        <v>4.72</v>
      </c>
      <c r="K39" s="4">
        <v>13</v>
      </c>
    </row>
    <row r="40" spans="1:11" x14ac:dyDescent="0.3">
      <c r="A40" s="4">
        <v>39</v>
      </c>
      <c r="B40" t="s">
        <v>11</v>
      </c>
      <c r="C40" s="1">
        <v>43849</v>
      </c>
      <c r="D40" s="1"/>
      <c r="E40" t="s">
        <v>8</v>
      </c>
      <c r="F40" s="11">
        <f ca="1">IF(HR[[#This Row],[ Employee Status]]="exited",HR[[#This Row],[ExitDate]]-HR[[#This Row],[HireDate]],TODAY()-HR[[#This Row],[HireDate]])/365</f>
        <v>6.4684931506849317</v>
      </c>
      <c r="G40" s="4" t="str">
        <f>IF(HR[[#This Row],[ Employee Status]]="still working","",YEAR(HR[[#This Row],[ExitDate]]))</f>
        <v/>
      </c>
      <c r="H40" s="6">
        <v>4686</v>
      </c>
      <c r="I40" s="10">
        <v>4.63</v>
      </c>
      <c r="J40" s="10">
        <v>3.96</v>
      </c>
      <c r="K40" s="4">
        <v>0</v>
      </c>
    </row>
    <row r="41" spans="1:11" x14ac:dyDescent="0.3">
      <c r="A41" s="4">
        <v>40</v>
      </c>
      <c r="B41" t="s">
        <v>11</v>
      </c>
      <c r="C41" s="1">
        <v>45538</v>
      </c>
      <c r="D41" s="1"/>
      <c r="E41" t="s">
        <v>8</v>
      </c>
      <c r="F41" s="11">
        <f ca="1">IF(HR[[#This Row],[ Employee Status]]="exited",HR[[#This Row],[ExitDate]]-HR[[#This Row],[HireDate]],TODAY()-HR[[#This Row],[HireDate]])/365</f>
        <v>1.8410958904109589</v>
      </c>
      <c r="G41" s="4" t="str">
        <f>IF(HR[[#This Row],[ Employee Status]]="still working","",YEAR(HR[[#This Row],[ExitDate]]))</f>
        <v/>
      </c>
      <c r="H41" s="6">
        <v>10343</v>
      </c>
      <c r="I41" s="10">
        <v>3.26</v>
      </c>
      <c r="J41" s="10">
        <v>2.02</v>
      </c>
      <c r="K41" s="4">
        <v>23</v>
      </c>
    </row>
    <row r="42" spans="1:11" x14ac:dyDescent="0.3">
      <c r="A42" s="4">
        <v>41</v>
      </c>
      <c r="B42" t="s">
        <v>10</v>
      </c>
      <c r="C42" s="1">
        <v>44965</v>
      </c>
      <c r="D42" s="1">
        <v>45003</v>
      </c>
      <c r="E42" t="s">
        <v>12</v>
      </c>
      <c r="F42" s="11">
        <f ca="1">IF(HR[[#This Row],[ Employee Status]]="exited",HR[[#This Row],[ExitDate]]-HR[[#This Row],[HireDate]],TODAY()-HR[[#This Row],[HireDate]])/365</f>
        <v>0.10410958904109589</v>
      </c>
      <c r="G42" s="4">
        <f>IF(HR[[#This Row],[ Employee Status]]="still working","",YEAR(HR[[#This Row],[ExitDate]]))</f>
        <v>2023</v>
      </c>
      <c r="H42" s="6">
        <v>5950</v>
      </c>
      <c r="I42" s="10">
        <v>3.95</v>
      </c>
      <c r="J42" s="10">
        <v>3.81</v>
      </c>
      <c r="K42" s="4">
        <v>15</v>
      </c>
    </row>
    <row r="43" spans="1:11" x14ac:dyDescent="0.3">
      <c r="A43" s="4">
        <v>42</v>
      </c>
      <c r="B43" t="s">
        <v>14</v>
      </c>
      <c r="C43" s="1">
        <v>43834</v>
      </c>
      <c r="D43" s="1"/>
      <c r="E43" t="s">
        <v>8</v>
      </c>
      <c r="F43" s="11">
        <f ca="1">IF(HR[[#This Row],[ Employee Status]]="exited",HR[[#This Row],[ExitDate]]-HR[[#This Row],[HireDate]],TODAY()-HR[[#This Row],[HireDate]])/365</f>
        <v>6.5095890410958903</v>
      </c>
      <c r="G43" s="4" t="str">
        <f>IF(HR[[#This Row],[ Employee Status]]="still working","",YEAR(HR[[#This Row],[ExitDate]]))</f>
        <v/>
      </c>
      <c r="H43" s="6">
        <v>8960</v>
      </c>
      <c r="I43" s="10">
        <v>3.32</v>
      </c>
      <c r="J43" s="10">
        <v>3.69</v>
      </c>
      <c r="K43" s="4">
        <v>18</v>
      </c>
    </row>
    <row r="44" spans="1:11" x14ac:dyDescent="0.3">
      <c r="A44" s="4">
        <v>43</v>
      </c>
      <c r="B44" t="s">
        <v>11</v>
      </c>
      <c r="C44" s="1">
        <v>45075</v>
      </c>
      <c r="D44" s="1"/>
      <c r="E44" t="s">
        <v>8</v>
      </c>
      <c r="F44" s="11">
        <f ca="1">IF(HR[[#This Row],[ Employee Status]]="exited",HR[[#This Row],[ExitDate]]-HR[[#This Row],[HireDate]],TODAY()-HR[[#This Row],[HireDate]])/365</f>
        <v>3.1095890410958904</v>
      </c>
      <c r="G44" s="4" t="str">
        <f>IF(HR[[#This Row],[ Employee Status]]="still working","",YEAR(HR[[#This Row],[ExitDate]]))</f>
        <v/>
      </c>
      <c r="H44" s="6">
        <v>4148</v>
      </c>
      <c r="I44" s="10">
        <v>2.75</v>
      </c>
      <c r="J44" s="10">
        <v>1.1599999999999999</v>
      </c>
      <c r="K44" s="4">
        <v>14</v>
      </c>
    </row>
    <row r="45" spans="1:11" x14ac:dyDescent="0.3">
      <c r="A45" s="4">
        <v>44</v>
      </c>
      <c r="B45" t="s">
        <v>9</v>
      </c>
      <c r="C45" s="1">
        <v>45353</v>
      </c>
      <c r="D45" s="1"/>
      <c r="E45" t="s">
        <v>8</v>
      </c>
      <c r="F45" s="11">
        <f ca="1">IF(HR[[#This Row],[ Employee Status]]="exited",HR[[#This Row],[ExitDate]]-HR[[#This Row],[HireDate]],TODAY()-HR[[#This Row],[HireDate]])/365</f>
        <v>2.3479452054794518</v>
      </c>
      <c r="G45" s="4" t="str">
        <f>IF(HR[[#This Row],[ Employee Status]]="still working","",YEAR(HR[[#This Row],[ExitDate]]))</f>
        <v/>
      </c>
      <c r="H45" s="6">
        <v>13852</v>
      </c>
      <c r="I45" s="10">
        <v>2.65</v>
      </c>
      <c r="J45" s="10">
        <v>3.49</v>
      </c>
      <c r="K45" s="4">
        <v>3</v>
      </c>
    </row>
    <row r="46" spans="1:11" x14ac:dyDescent="0.3">
      <c r="A46" s="4">
        <v>45</v>
      </c>
      <c r="B46" t="s">
        <v>9</v>
      </c>
      <c r="C46" s="1">
        <v>44488</v>
      </c>
      <c r="D46" s="1">
        <v>44892</v>
      </c>
      <c r="E46" t="s">
        <v>12</v>
      </c>
      <c r="F46" s="11">
        <f ca="1">IF(HR[[#This Row],[ Employee Status]]="exited",HR[[#This Row],[ExitDate]]-HR[[#This Row],[HireDate]],TODAY()-HR[[#This Row],[HireDate]])/365</f>
        <v>1.106849315068493</v>
      </c>
      <c r="G46" s="4">
        <f>IF(HR[[#This Row],[ Employee Status]]="still working","",YEAR(HR[[#This Row],[ExitDate]]))</f>
        <v>2022</v>
      </c>
      <c r="H46" s="6">
        <v>7142</v>
      </c>
      <c r="I46" s="10">
        <v>2.4</v>
      </c>
      <c r="J46" s="10">
        <v>4.88</v>
      </c>
      <c r="K46" s="4">
        <v>9</v>
      </c>
    </row>
    <row r="47" spans="1:11" x14ac:dyDescent="0.3">
      <c r="A47" s="4">
        <v>46</v>
      </c>
      <c r="B47" t="s">
        <v>13</v>
      </c>
      <c r="C47" s="1">
        <v>44757</v>
      </c>
      <c r="D47" s="1"/>
      <c r="E47" t="s">
        <v>8</v>
      </c>
      <c r="F47" s="11">
        <f ca="1">IF(HR[[#This Row],[ Employee Status]]="exited",HR[[#This Row],[ExitDate]]-HR[[#This Row],[HireDate]],TODAY()-HR[[#This Row],[HireDate]])/365</f>
        <v>3.9808219178082194</v>
      </c>
      <c r="G47" s="4" t="str">
        <f>IF(HR[[#This Row],[ Employee Status]]="still working","",YEAR(HR[[#This Row],[ExitDate]]))</f>
        <v/>
      </c>
      <c r="H47" s="6">
        <v>11311</v>
      </c>
      <c r="I47" s="10">
        <v>2.2400000000000002</v>
      </c>
      <c r="J47" s="10">
        <v>1.1000000000000001</v>
      </c>
      <c r="K47" s="4">
        <v>20</v>
      </c>
    </row>
    <row r="48" spans="1:11" x14ac:dyDescent="0.3">
      <c r="A48" s="4">
        <v>47</v>
      </c>
      <c r="B48" t="s">
        <v>13</v>
      </c>
      <c r="C48" s="1">
        <v>44343</v>
      </c>
      <c r="D48" s="1"/>
      <c r="E48" t="s">
        <v>8</v>
      </c>
      <c r="F48" s="11">
        <f ca="1">IF(HR[[#This Row],[ Employee Status]]="exited",HR[[#This Row],[ExitDate]]-HR[[#This Row],[HireDate]],TODAY()-HR[[#This Row],[HireDate]])/365</f>
        <v>5.1150684931506847</v>
      </c>
      <c r="G48" s="4" t="str">
        <f>IF(HR[[#This Row],[ Employee Status]]="still working","",YEAR(HR[[#This Row],[ExitDate]]))</f>
        <v/>
      </c>
      <c r="H48" s="6">
        <v>4931</v>
      </c>
      <c r="I48" s="10">
        <v>2.4700000000000002</v>
      </c>
      <c r="J48" s="10">
        <v>2</v>
      </c>
      <c r="K48" s="4">
        <v>29</v>
      </c>
    </row>
    <row r="49" spans="1:11" x14ac:dyDescent="0.3">
      <c r="A49" s="4">
        <v>48</v>
      </c>
      <c r="B49" t="s">
        <v>13</v>
      </c>
      <c r="C49" s="1">
        <v>44202</v>
      </c>
      <c r="D49" s="1"/>
      <c r="E49" t="s">
        <v>8</v>
      </c>
      <c r="F49" s="11">
        <f ca="1">IF(HR[[#This Row],[ Employee Status]]="exited",HR[[#This Row],[ExitDate]]-HR[[#This Row],[HireDate]],TODAY()-HR[[#This Row],[HireDate]])/365</f>
        <v>5.5013698630136982</v>
      </c>
      <c r="G49" s="4" t="str">
        <f>IF(HR[[#This Row],[ Employee Status]]="still working","",YEAR(HR[[#This Row],[ExitDate]]))</f>
        <v/>
      </c>
      <c r="H49" s="6">
        <v>10404</v>
      </c>
      <c r="I49" s="10">
        <v>4.21</v>
      </c>
      <c r="J49" s="10">
        <v>3.22</v>
      </c>
      <c r="K49" s="4">
        <v>21</v>
      </c>
    </row>
    <row r="50" spans="1:11" x14ac:dyDescent="0.3">
      <c r="A50" s="4">
        <v>49</v>
      </c>
      <c r="B50" t="s">
        <v>14</v>
      </c>
      <c r="C50" s="1">
        <v>45535</v>
      </c>
      <c r="D50" s="1"/>
      <c r="E50" t="s">
        <v>8</v>
      </c>
      <c r="F50" s="11">
        <f ca="1">IF(HR[[#This Row],[ Employee Status]]="exited",HR[[#This Row],[ExitDate]]-HR[[#This Row],[HireDate]],TODAY()-HR[[#This Row],[HireDate]])/365</f>
        <v>1.8493150684931507</v>
      </c>
      <c r="G50" s="4" t="str">
        <f>IF(HR[[#This Row],[ Employee Status]]="still working","",YEAR(HR[[#This Row],[ExitDate]]))</f>
        <v/>
      </c>
      <c r="H50" s="6">
        <v>6147</v>
      </c>
      <c r="I50" s="10">
        <v>2.36</v>
      </c>
      <c r="J50" s="10">
        <v>2.37</v>
      </c>
      <c r="K50" s="4">
        <v>27</v>
      </c>
    </row>
    <row r="51" spans="1:11" x14ac:dyDescent="0.3">
      <c r="A51" s="4">
        <v>50</v>
      </c>
      <c r="B51" t="s">
        <v>13</v>
      </c>
      <c r="C51" s="1">
        <v>43853</v>
      </c>
      <c r="D51" s="1"/>
      <c r="E51" t="s">
        <v>8</v>
      </c>
      <c r="F51" s="11">
        <f ca="1">IF(HR[[#This Row],[ Employee Status]]="exited",HR[[#This Row],[ExitDate]]-HR[[#This Row],[HireDate]],TODAY()-HR[[#This Row],[HireDate]])/365</f>
        <v>6.4575342465753423</v>
      </c>
      <c r="G51" s="4" t="str">
        <f>IF(HR[[#This Row],[ Employee Status]]="still working","",YEAR(HR[[#This Row],[ExitDate]]))</f>
        <v/>
      </c>
      <c r="H51" s="6">
        <v>5141</v>
      </c>
      <c r="I51" s="10">
        <v>3.42</v>
      </c>
      <c r="J51" s="10">
        <v>1.39</v>
      </c>
      <c r="K51" s="4">
        <v>15</v>
      </c>
    </row>
    <row r="52" spans="1:11" x14ac:dyDescent="0.3">
      <c r="A52" s="4">
        <v>51</v>
      </c>
      <c r="B52" t="s">
        <v>9</v>
      </c>
      <c r="C52" s="1">
        <v>45215</v>
      </c>
      <c r="D52" s="1">
        <v>46602</v>
      </c>
      <c r="E52" t="s">
        <v>12</v>
      </c>
      <c r="F52" s="11">
        <f ca="1">IF(HR[[#This Row],[ Employee Status]]="exited",HR[[#This Row],[ExitDate]]-HR[[#This Row],[HireDate]],TODAY()-HR[[#This Row],[HireDate]])/365</f>
        <v>3.8</v>
      </c>
      <c r="G52" s="4">
        <f>IF(HR[[#This Row],[ Employee Status]]="still working","",YEAR(HR[[#This Row],[ExitDate]]))</f>
        <v>2027</v>
      </c>
      <c r="H52" s="6">
        <v>10421</v>
      </c>
      <c r="I52" s="10">
        <v>3.85</v>
      </c>
      <c r="J52" s="10">
        <v>3.54</v>
      </c>
      <c r="K52" s="4">
        <v>1</v>
      </c>
    </row>
    <row r="53" spans="1:11" x14ac:dyDescent="0.3">
      <c r="A53" s="4">
        <v>52</v>
      </c>
      <c r="B53" t="s">
        <v>10</v>
      </c>
      <c r="C53" s="1">
        <v>44444</v>
      </c>
      <c r="D53" s="1"/>
      <c r="E53" t="s">
        <v>8</v>
      </c>
      <c r="F53" s="11">
        <f ca="1">IF(HR[[#This Row],[ Employee Status]]="exited",HR[[#This Row],[ExitDate]]-HR[[#This Row],[HireDate]],TODAY()-HR[[#This Row],[HireDate]])/365</f>
        <v>4.838356164383562</v>
      </c>
      <c r="G53" s="4" t="str">
        <f>IF(HR[[#This Row],[ Employee Status]]="still working","",YEAR(HR[[#This Row],[ExitDate]]))</f>
        <v/>
      </c>
      <c r="H53" s="6">
        <v>9905</v>
      </c>
      <c r="I53" s="10">
        <v>3.62</v>
      </c>
      <c r="J53" s="10">
        <v>3.74</v>
      </c>
      <c r="K53" s="4">
        <v>15</v>
      </c>
    </row>
    <row r="54" spans="1:11" x14ac:dyDescent="0.3">
      <c r="A54" s="4">
        <v>53</v>
      </c>
      <c r="B54" t="s">
        <v>10</v>
      </c>
      <c r="C54" s="1">
        <v>44011</v>
      </c>
      <c r="D54" s="1"/>
      <c r="E54" t="s">
        <v>8</v>
      </c>
      <c r="F54" s="11">
        <f ca="1">IF(HR[[#This Row],[ Employee Status]]="exited",HR[[#This Row],[ExitDate]]-HR[[#This Row],[HireDate]],TODAY()-HR[[#This Row],[HireDate]])/365</f>
        <v>6.0246575342465754</v>
      </c>
      <c r="G54" s="4" t="str">
        <f>IF(HR[[#This Row],[ Employee Status]]="still working","",YEAR(HR[[#This Row],[ExitDate]]))</f>
        <v/>
      </c>
      <c r="H54" s="6">
        <v>12087</v>
      </c>
      <c r="I54" s="10">
        <v>4.03</v>
      </c>
      <c r="J54" s="10">
        <v>3.29</v>
      </c>
      <c r="K54" s="4">
        <v>0</v>
      </c>
    </row>
    <row r="55" spans="1:11" x14ac:dyDescent="0.3">
      <c r="A55" s="4">
        <v>54</v>
      </c>
      <c r="B55" t="s">
        <v>14</v>
      </c>
      <c r="C55" s="1">
        <v>43635</v>
      </c>
      <c r="D55" s="1"/>
      <c r="E55" t="s">
        <v>8</v>
      </c>
      <c r="F55" s="11">
        <f ca="1">IF(HR[[#This Row],[ Employee Status]]="exited",HR[[#This Row],[ExitDate]]-HR[[#This Row],[HireDate]],TODAY()-HR[[#This Row],[HireDate]])/365</f>
        <v>7.0547945205479454</v>
      </c>
      <c r="G55" s="4" t="str">
        <f>IF(HR[[#This Row],[ Employee Status]]="still working","",YEAR(HR[[#This Row],[ExitDate]]))</f>
        <v/>
      </c>
      <c r="H55" s="6">
        <v>14690</v>
      </c>
      <c r="I55" s="10">
        <v>4.88</v>
      </c>
      <c r="J55" s="10">
        <v>4.62</v>
      </c>
      <c r="K55" s="4">
        <v>11</v>
      </c>
    </row>
    <row r="56" spans="1:11" x14ac:dyDescent="0.3">
      <c r="A56" s="4">
        <v>55</v>
      </c>
      <c r="B56" t="s">
        <v>9</v>
      </c>
      <c r="C56" s="1">
        <v>45149</v>
      </c>
      <c r="D56" s="1"/>
      <c r="E56" t="s">
        <v>8</v>
      </c>
      <c r="F56" s="11">
        <f ca="1">IF(HR[[#This Row],[ Employee Status]]="exited",HR[[#This Row],[ExitDate]]-HR[[#This Row],[HireDate]],TODAY()-HR[[#This Row],[HireDate]])/365</f>
        <v>2.9068493150684933</v>
      </c>
      <c r="G56" s="4" t="str">
        <f>IF(HR[[#This Row],[ Employee Status]]="still working","",YEAR(HR[[#This Row],[ExitDate]]))</f>
        <v/>
      </c>
      <c r="H56" s="6">
        <v>8726</v>
      </c>
      <c r="I56" s="10">
        <v>3.85</v>
      </c>
      <c r="J56" s="10">
        <v>2.35</v>
      </c>
      <c r="K56" s="4">
        <v>25</v>
      </c>
    </row>
    <row r="57" spans="1:11" x14ac:dyDescent="0.3">
      <c r="A57" s="4">
        <v>56</v>
      </c>
      <c r="B57" t="s">
        <v>10</v>
      </c>
      <c r="C57" s="1">
        <v>44341</v>
      </c>
      <c r="D57" s="1"/>
      <c r="E57" t="s">
        <v>8</v>
      </c>
      <c r="F57" s="11">
        <f ca="1">IF(HR[[#This Row],[ Employee Status]]="exited",HR[[#This Row],[ExitDate]]-HR[[#This Row],[HireDate]],TODAY()-HR[[#This Row],[HireDate]])/365</f>
        <v>5.1205479452054794</v>
      </c>
      <c r="G57" s="4" t="str">
        <f>IF(HR[[#This Row],[ Employee Status]]="still working","",YEAR(HR[[#This Row],[ExitDate]]))</f>
        <v/>
      </c>
      <c r="H57" s="6">
        <v>12817</v>
      </c>
      <c r="I57" s="10">
        <v>3.49</v>
      </c>
      <c r="J57" s="10">
        <v>3.77</v>
      </c>
      <c r="K57" s="4">
        <v>17</v>
      </c>
    </row>
    <row r="58" spans="1:11" x14ac:dyDescent="0.3">
      <c r="A58" s="4">
        <v>57</v>
      </c>
      <c r="B58" t="s">
        <v>7</v>
      </c>
      <c r="C58" s="1">
        <v>44353</v>
      </c>
      <c r="D58" s="1"/>
      <c r="E58" t="s">
        <v>8</v>
      </c>
      <c r="F58" s="11">
        <f ca="1">IF(HR[[#This Row],[ Employee Status]]="exited",HR[[#This Row],[ExitDate]]-HR[[#This Row],[HireDate]],TODAY()-HR[[#This Row],[HireDate]])/365</f>
        <v>5.087671232876712</v>
      </c>
      <c r="G58" s="4" t="str">
        <f>IF(HR[[#This Row],[ Employee Status]]="still working","",YEAR(HR[[#This Row],[ExitDate]]))</f>
        <v/>
      </c>
      <c r="H58" s="6">
        <v>10543</v>
      </c>
      <c r="I58" s="10">
        <v>2.85</v>
      </c>
      <c r="J58" s="10">
        <v>1.71</v>
      </c>
      <c r="K58" s="4">
        <v>8</v>
      </c>
    </row>
    <row r="59" spans="1:11" x14ac:dyDescent="0.3">
      <c r="A59" s="4">
        <v>58</v>
      </c>
      <c r="B59" t="s">
        <v>14</v>
      </c>
      <c r="C59" s="1">
        <v>43679</v>
      </c>
      <c r="D59" s="1"/>
      <c r="E59" t="s">
        <v>8</v>
      </c>
      <c r="F59" s="11">
        <f ca="1">IF(HR[[#This Row],[ Employee Status]]="exited",HR[[#This Row],[ExitDate]]-HR[[#This Row],[HireDate]],TODAY()-HR[[#This Row],[HireDate]])/365</f>
        <v>6.934246575342466</v>
      </c>
      <c r="G59" s="4" t="str">
        <f>IF(HR[[#This Row],[ Employee Status]]="still working","",YEAR(HR[[#This Row],[ExitDate]]))</f>
        <v/>
      </c>
      <c r="H59" s="6">
        <v>4122</v>
      </c>
      <c r="I59" s="10">
        <v>4.33</v>
      </c>
      <c r="J59" s="10">
        <v>2.36</v>
      </c>
      <c r="K59" s="4">
        <v>29</v>
      </c>
    </row>
    <row r="60" spans="1:11" x14ac:dyDescent="0.3">
      <c r="A60" s="4">
        <v>59</v>
      </c>
      <c r="B60" t="s">
        <v>9</v>
      </c>
      <c r="C60" s="1">
        <v>43659</v>
      </c>
      <c r="D60" s="1"/>
      <c r="E60" t="s">
        <v>8</v>
      </c>
      <c r="F60" s="11">
        <f ca="1">IF(HR[[#This Row],[ Employee Status]]="exited",HR[[#This Row],[ExitDate]]-HR[[#This Row],[HireDate]],TODAY()-HR[[#This Row],[HireDate]])/365</f>
        <v>6.9890410958904106</v>
      </c>
      <c r="G60" s="4" t="str">
        <f>IF(HR[[#This Row],[ Employee Status]]="still working","",YEAR(HR[[#This Row],[ExitDate]]))</f>
        <v/>
      </c>
      <c r="H60" s="6">
        <v>6440</v>
      </c>
      <c r="I60" s="10">
        <v>2.71</v>
      </c>
      <c r="J60" s="10">
        <v>2.5099999999999998</v>
      </c>
      <c r="K60" s="4">
        <v>16</v>
      </c>
    </row>
    <row r="61" spans="1:11" x14ac:dyDescent="0.3">
      <c r="A61" s="4">
        <v>60</v>
      </c>
      <c r="B61" t="s">
        <v>13</v>
      </c>
      <c r="C61" s="1">
        <v>44592</v>
      </c>
      <c r="D61" s="1"/>
      <c r="E61" t="s">
        <v>8</v>
      </c>
      <c r="F61" s="11">
        <f ca="1">IF(HR[[#This Row],[ Employee Status]]="exited",HR[[#This Row],[ExitDate]]-HR[[#This Row],[HireDate]],TODAY()-HR[[#This Row],[HireDate]])/365</f>
        <v>4.4328767123287669</v>
      </c>
      <c r="G61" s="4" t="str">
        <f>IF(HR[[#This Row],[ Employee Status]]="still working","",YEAR(HR[[#This Row],[ExitDate]]))</f>
        <v/>
      </c>
      <c r="H61" s="6">
        <v>4365</v>
      </c>
      <c r="I61" s="10">
        <v>2.16</v>
      </c>
      <c r="J61" s="10">
        <v>4.83</v>
      </c>
      <c r="K61" s="4">
        <v>18</v>
      </c>
    </row>
    <row r="62" spans="1:11" x14ac:dyDescent="0.3">
      <c r="A62" s="4">
        <v>61</v>
      </c>
      <c r="B62" t="s">
        <v>9</v>
      </c>
      <c r="C62" s="1">
        <v>44872</v>
      </c>
      <c r="D62" s="1"/>
      <c r="E62" t="s">
        <v>8</v>
      </c>
      <c r="F62" s="11">
        <f ca="1">IF(HR[[#This Row],[ Employee Status]]="exited",HR[[#This Row],[ExitDate]]-HR[[#This Row],[HireDate]],TODAY()-HR[[#This Row],[HireDate]])/365</f>
        <v>3.6657534246575341</v>
      </c>
      <c r="G62" s="4" t="str">
        <f>IF(HR[[#This Row],[ Employee Status]]="still working","",YEAR(HR[[#This Row],[ExitDate]]))</f>
        <v/>
      </c>
      <c r="H62" s="6">
        <v>3717</v>
      </c>
      <c r="I62" s="10">
        <v>3.48</v>
      </c>
      <c r="J62" s="10">
        <v>1.33</v>
      </c>
      <c r="K62" s="4">
        <v>4</v>
      </c>
    </row>
    <row r="63" spans="1:11" x14ac:dyDescent="0.3">
      <c r="A63" s="4">
        <v>62</v>
      </c>
      <c r="B63" t="s">
        <v>13</v>
      </c>
      <c r="C63" s="1">
        <v>44777</v>
      </c>
      <c r="D63" s="1"/>
      <c r="E63" t="s">
        <v>8</v>
      </c>
      <c r="F63" s="11">
        <f ca="1">IF(HR[[#This Row],[ Employee Status]]="exited",HR[[#This Row],[ExitDate]]-HR[[#This Row],[HireDate]],TODAY()-HR[[#This Row],[HireDate]])/365</f>
        <v>3.9260273972602739</v>
      </c>
      <c r="G63" s="4" t="str">
        <f>IF(HR[[#This Row],[ Employee Status]]="still working","",YEAR(HR[[#This Row],[ExitDate]]))</f>
        <v/>
      </c>
      <c r="H63" s="6">
        <v>14130</v>
      </c>
      <c r="I63" s="10">
        <v>4.34</v>
      </c>
      <c r="J63" s="10">
        <v>1.45</v>
      </c>
      <c r="K63" s="4">
        <v>20</v>
      </c>
    </row>
    <row r="64" spans="1:11" x14ac:dyDescent="0.3">
      <c r="A64" s="4">
        <v>63</v>
      </c>
      <c r="B64" t="s">
        <v>11</v>
      </c>
      <c r="C64" s="1">
        <v>44602</v>
      </c>
      <c r="D64" s="1"/>
      <c r="E64" t="s">
        <v>8</v>
      </c>
      <c r="F64" s="11">
        <f ca="1">IF(HR[[#This Row],[ Employee Status]]="exited",HR[[#This Row],[ExitDate]]-HR[[#This Row],[HireDate]],TODAY()-HR[[#This Row],[HireDate]])/365</f>
        <v>4.4054794520547942</v>
      </c>
      <c r="G64" s="4" t="str">
        <f>IF(HR[[#This Row],[ Employee Status]]="still working","",YEAR(HR[[#This Row],[ExitDate]]))</f>
        <v/>
      </c>
      <c r="H64" s="6">
        <v>14486</v>
      </c>
      <c r="I64" s="10">
        <v>3.64</v>
      </c>
      <c r="J64" s="10">
        <v>3.82</v>
      </c>
      <c r="K64" s="4">
        <v>14</v>
      </c>
    </row>
    <row r="65" spans="1:11" x14ac:dyDescent="0.3">
      <c r="A65" s="4">
        <v>64</v>
      </c>
      <c r="B65" t="s">
        <v>10</v>
      </c>
      <c r="C65" s="1">
        <v>43888</v>
      </c>
      <c r="D65" s="1"/>
      <c r="E65" t="s">
        <v>8</v>
      </c>
      <c r="F65" s="11">
        <f ca="1">IF(HR[[#This Row],[ Employee Status]]="exited",HR[[#This Row],[ExitDate]]-HR[[#This Row],[HireDate]],TODAY()-HR[[#This Row],[HireDate]])/365</f>
        <v>6.3616438356164382</v>
      </c>
      <c r="G65" s="4" t="str">
        <f>IF(HR[[#This Row],[ Employee Status]]="still working","",YEAR(HR[[#This Row],[ExitDate]]))</f>
        <v/>
      </c>
      <c r="H65" s="6">
        <v>3953</v>
      </c>
      <c r="I65" s="10">
        <v>2.25</v>
      </c>
      <c r="J65" s="10">
        <v>3.8</v>
      </c>
      <c r="K65" s="4">
        <v>9</v>
      </c>
    </row>
    <row r="66" spans="1:11" x14ac:dyDescent="0.3">
      <c r="A66" s="4">
        <v>65</v>
      </c>
      <c r="B66" t="s">
        <v>14</v>
      </c>
      <c r="C66" s="1">
        <v>44746</v>
      </c>
      <c r="D66" s="1"/>
      <c r="E66" t="s">
        <v>8</v>
      </c>
      <c r="F66" s="11">
        <f ca="1">IF(HR[[#This Row],[ Employee Status]]="exited",HR[[#This Row],[ExitDate]]-HR[[#This Row],[HireDate]],TODAY()-HR[[#This Row],[HireDate]])/365</f>
        <v>4.0109589041095894</v>
      </c>
      <c r="G66" s="4" t="str">
        <f>IF(HR[[#This Row],[ Employee Status]]="still working","",YEAR(HR[[#This Row],[ExitDate]]))</f>
        <v/>
      </c>
      <c r="H66" s="6">
        <v>5681</v>
      </c>
      <c r="I66" s="10">
        <v>2.7</v>
      </c>
      <c r="J66" s="10">
        <v>3.33</v>
      </c>
      <c r="K66" s="4">
        <v>12</v>
      </c>
    </row>
    <row r="67" spans="1:11" x14ac:dyDescent="0.3">
      <c r="A67" s="4">
        <v>66</v>
      </c>
      <c r="B67" t="s">
        <v>9</v>
      </c>
      <c r="C67" s="1">
        <v>45113</v>
      </c>
      <c r="D67" s="1"/>
      <c r="E67" t="s">
        <v>8</v>
      </c>
      <c r="F67" s="11">
        <f ca="1">IF(HR[[#This Row],[ Employee Status]]="exited",HR[[#This Row],[ExitDate]]-HR[[#This Row],[HireDate]],TODAY()-HR[[#This Row],[HireDate]])/365</f>
        <v>3.0054794520547947</v>
      </c>
      <c r="G67" s="4" t="str">
        <f>IF(HR[[#This Row],[ Employee Status]]="still working","",YEAR(HR[[#This Row],[ExitDate]]))</f>
        <v/>
      </c>
      <c r="H67" s="6">
        <v>12872</v>
      </c>
      <c r="I67" s="10">
        <v>4.26</v>
      </c>
      <c r="J67" s="10">
        <v>2.5099999999999998</v>
      </c>
      <c r="K67" s="4">
        <v>18</v>
      </c>
    </row>
    <row r="68" spans="1:11" x14ac:dyDescent="0.3">
      <c r="A68" s="4">
        <v>67</v>
      </c>
      <c r="B68" t="s">
        <v>11</v>
      </c>
      <c r="C68" s="1">
        <v>44165</v>
      </c>
      <c r="D68" s="1">
        <v>44489</v>
      </c>
      <c r="E68" t="s">
        <v>12</v>
      </c>
      <c r="F68" s="11">
        <f ca="1">IF(HR[[#This Row],[ Employee Status]]="exited",HR[[#This Row],[ExitDate]]-HR[[#This Row],[HireDate]],TODAY()-HR[[#This Row],[HireDate]])/365</f>
        <v>0.88767123287671235</v>
      </c>
      <c r="G68" s="4">
        <f>IF(HR[[#This Row],[ Employee Status]]="still working","",YEAR(HR[[#This Row],[ExitDate]]))</f>
        <v>2021</v>
      </c>
      <c r="H68" s="6">
        <v>13406</v>
      </c>
      <c r="I68" s="10">
        <v>2.33</v>
      </c>
      <c r="J68" s="10">
        <v>2.97</v>
      </c>
      <c r="K68" s="4">
        <v>12</v>
      </c>
    </row>
    <row r="69" spans="1:11" x14ac:dyDescent="0.3">
      <c r="A69" s="4">
        <v>68</v>
      </c>
      <c r="B69" t="s">
        <v>11</v>
      </c>
      <c r="C69" s="1">
        <v>43120</v>
      </c>
      <c r="D69" s="1"/>
      <c r="E69" t="s">
        <v>8</v>
      </c>
      <c r="F69" s="11">
        <f ca="1">IF(HR[[#This Row],[ Employee Status]]="exited",HR[[#This Row],[ExitDate]]-HR[[#This Row],[HireDate]],TODAY()-HR[[#This Row],[HireDate]])/365</f>
        <v>8.4657534246575334</v>
      </c>
      <c r="G69" s="4" t="str">
        <f>IF(HR[[#This Row],[ Employee Status]]="still working","",YEAR(HR[[#This Row],[ExitDate]]))</f>
        <v/>
      </c>
      <c r="H69" s="6">
        <v>12273</v>
      </c>
      <c r="I69" s="10">
        <v>4.47</v>
      </c>
      <c r="J69" s="10">
        <v>3.98</v>
      </c>
      <c r="K69" s="4">
        <v>2</v>
      </c>
    </row>
    <row r="70" spans="1:11" x14ac:dyDescent="0.3">
      <c r="A70" s="4">
        <v>69</v>
      </c>
      <c r="B70" t="s">
        <v>11</v>
      </c>
      <c r="C70" s="1">
        <v>44443</v>
      </c>
      <c r="D70" s="1"/>
      <c r="E70" t="s">
        <v>8</v>
      </c>
      <c r="F70" s="11">
        <f ca="1">IF(HR[[#This Row],[ Employee Status]]="exited",HR[[#This Row],[ExitDate]]-HR[[#This Row],[HireDate]],TODAY()-HR[[#This Row],[HireDate]])/365</f>
        <v>4.8410958904109593</v>
      </c>
      <c r="G70" s="4" t="str">
        <f>IF(HR[[#This Row],[ Employee Status]]="still working","",YEAR(HR[[#This Row],[ExitDate]]))</f>
        <v/>
      </c>
      <c r="H70" s="6">
        <v>3504</v>
      </c>
      <c r="I70" s="10">
        <v>4.6100000000000003</v>
      </c>
      <c r="J70" s="10">
        <v>1.89</v>
      </c>
      <c r="K70" s="4">
        <v>5</v>
      </c>
    </row>
    <row r="71" spans="1:11" x14ac:dyDescent="0.3">
      <c r="A71" s="4">
        <v>70</v>
      </c>
      <c r="B71" t="s">
        <v>7</v>
      </c>
      <c r="C71" s="1">
        <v>43279</v>
      </c>
      <c r="D71" s="1">
        <v>43768</v>
      </c>
      <c r="E71" t="s">
        <v>12</v>
      </c>
      <c r="F71" s="11">
        <f ca="1">IF(HR[[#This Row],[ Employee Status]]="exited",HR[[#This Row],[ExitDate]]-HR[[#This Row],[HireDate]],TODAY()-HR[[#This Row],[HireDate]])/365</f>
        <v>1.3397260273972602</v>
      </c>
      <c r="G71" s="4">
        <f>IF(HR[[#This Row],[ Employee Status]]="still working","",YEAR(HR[[#This Row],[ExitDate]]))</f>
        <v>2019</v>
      </c>
      <c r="H71" s="6">
        <v>8960</v>
      </c>
      <c r="I71" s="10">
        <v>3.58</v>
      </c>
      <c r="J71" s="10">
        <v>4.97</v>
      </c>
      <c r="K71" s="4">
        <v>4</v>
      </c>
    </row>
    <row r="72" spans="1:11" x14ac:dyDescent="0.3">
      <c r="A72" s="4">
        <v>71</v>
      </c>
      <c r="B72" t="s">
        <v>14</v>
      </c>
      <c r="C72" s="1">
        <v>44216</v>
      </c>
      <c r="D72" s="1"/>
      <c r="E72" t="s">
        <v>8</v>
      </c>
      <c r="F72" s="11">
        <f ca="1">IF(HR[[#This Row],[ Employee Status]]="exited",HR[[#This Row],[ExitDate]]-HR[[#This Row],[HireDate]],TODAY()-HR[[#This Row],[HireDate]])/365</f>
        <v>5.463013698630137</v>
      </c>
      <c r="G72" s="4" t="str">
        <f>IF(HR[[#This Row],[ Employee Status]]="still working","",YEAR(HR[[#This Row],[ExitDate]]))</f>
        <v/>
      </c>
      <c r="H72" s="6">
        <v>14704</v>
      </c>
      <c r="I72" s="10">
        <v>4.09</v>
      </c>
      <c r="J72" s="10">
        <v>2.82</v>
      </c>
      <c r="K72" s="4">
        <v>20</v>
      </c>
    </row>
    <row r="73" spans="1:11" x14ac:dyDescent="0.3">
      <c r="A73" s="4">
        <v>72</v>
      </c>
      <c r="B73" t="s">
        <v>14</v>
      </c>
      <c r="C73" s="1">
        <v>44936</v>
      </c>
      <c r="D73" s="1"/>
      <c r="E73" t="s">
        <v>8</v>
      </c>
      <c r="F73" s="11">
        <f ca="1">IF(HR[[#This Row],[ Employee Status]]="exited",HR[[#This Row],[ExitDate]]-HR[[#This Row],[HireDate]],TODAY()-HR[[#This Row],[HireDate]])/365</f>
        <v>3.4904109589041097</v>
      </c>
      <c r="G73" s="4" t="str">
        <f>IF(HR[[#This Row],[ Employee Status]]="still working","",YEAR(HR[[#This Row],[ExitDate]]))</f>
        <v/>
      </c>
      <c r="H73" s="6">
        <v>5703</v>
      </c>
      <c r="I73" s="10">
        <v>4.88</v>
      </c>
      <c r="J73" s="10">
        <v>1.23</v>
      </c>
      <c r="K73" s="4">
        <v>5</v>
      </c>
    </row>
    <row r="74" spans="1:11" x14ac:dyDescent="0.3">
      <c r="A74" s="4">
        <v>73</v>
      </c>
      <c r="B74" t="s">
        <v>9</v>
      </c>
      <c r="C74" s="1">
        <v>45191</v>
      </c>
      <c r="D74" s="1"/>
      <c r="E74" t="s">
        <v>8</v>
      </c>
      <c r="F74" s="11">
        <f ca="1">IF(HR[[#This Row],[ Employee Status]]="exited",HR[[#This Row],[ExitDate]]-HR[[#This Row],[HireDate]],TODAY()-HR[[#This Row],[HireDate]])/365</f>
        <v>2.7917808219178082</v>
      </c>
      <c r="G74" s="4" t="str">
        <f>IF(HR[[#This Row],[ Employee Status]]="still working","",YEAR(HR[[#This Row],[ExitDate]]))</f>
        <v/>
      </c>
      <c r="H74" s="6">
        <v>7468</v>
      </c>
      <c r="I74" s="10">
        <v>3.39</v>
      </c>
      <c r="J74" s="10">
        <v>2.41</v>
      </c>
      <c r="K74" s="4">
        <v>17</v>
      </c>
    </row>
    <row r="75" spans="1:11" x14ac:dyDescent="0.3">
      <c r="A75" s="4">
        <v>74</v>
      </c>
      <c r="B75" t="s">
        <v>7</v>
      </c>
      <c r="C75" s="1">
        <v>43911</v>
      </c>
      <c r="D75" s="1"/>
      <c r="E75" t="s">
        <v>8</v>
      </c>
      <c r="F75" s="11">
        <f ca="1">IF(HR[[#This Row],[ Employee Status]]="exited",HR[[#This Row],[ExitDate]]-HR[[#This Row],[HireDate]],TODAY()-HR[[#This Row],[HireDate]])/365</f>
        <v>6.2986301369863016</v>
      </c>
      <c r="G75" s="4" t="str">
        <f>IF(HR[[#This Row],[ Employee Status]]="still working","",YEAR(HR[[#This Row],[ExitDate]]))</f>
        <v/>
      </c>
      <c r="H75" s="6">
        <v>7835</v>
      </c>
      <c r="I75" s="10">
        <v>3.61</v>
      </c>
      <c r="J75" s="10">
        <v>2.2400000000000002</v>
      </c>
      <c r="K75" s="4">
        <v>19</v>
      </c>
    </row>
    <row r="76" spans="1:11" x14ac:dyDescent="0.3">
      <c r="A76" s="4">
        <v>75</v>
      </c>
      <c r="B76" t="s">
        <v>7</v>
      </c>
      <c r="C76" s="1">
        <v>44211</v>
      </c>
      <c r="D76" s="1"/>
      <c r="E76" t="s">
        <v>8</v>
      </c>
      <c r="F76" s="11">
        <f ca="1">IF(HR[[#This Row],[ Employee Status]]="exited",HR[[#This Row],[ExitDate]]-HR[[#This Row],[HireDate]],TODAY()-HR[[#This Row],[HireDate]])/365</f>
        <v>5.4767123287671229</v>
      </c>
      <c r="G76" s="4" t="str">
        <f>IF(HR[[#This Row],[ Employee Status]]="still working","",YEAR(HR[[#This Row],[ExitDate]]))</f>
        <v/>
      </c>
      <c r="H76" s="6">
        <v>14148</v>
      </c>
      <c r="I76" s="10">
        <v>4.8499999999999996</v>
      </c>
      <c r="J76" s="10">
        <v>3.9</v>
      </c>
      <c r="K76" s="4">
        <v>14</v>
      </c>
    </row>
    <row r="77" spans="1:11" x14ac:dyDescent="0.3">
      <c r="A77" s="4">
        <v>76</v>
      </c>
      <c r="B77" t="s">
        <v>10</v>
      </c>
      <c r="C77" s="1">
        <v>44575</v>
      </c>
      <c r="D77" s="1">
        <v>44736</v>
      </c>
      <c r="E77" t="s">
        <v>12</v>
      </c>
      <c r="F77" s="11">
        <f ca="1">IF(HR[[#This Row],[ Employee Status]]="exited",HR[[#This Row],[ExitDate]]-HR[[#This Row],[HireDate]],TODAY()-HR[[#This Row],[HireDate]])/365</f>
        <v>0.44109589041095892</v>
      </c>
      <c r="G77" s="4">
        <f>IF(HR[[#This Row],[ Employee Status]]="still working","",YEAR(HR[[#This Row],[ExitDate]]))</f>
        <v>2022</v>
      </c>
      <c r="H77" s="6">
        <v>5871</v>
      </c>
      <c r="I77" s="10">
        <v>2.4900000000000002</v>
      </c>
      <c r="J77" s="10">
        <v>2.65</v>
      </c>
      <c r="K77" s="4">
        <v>21</v>
      </c>
    </row>
    <row r="78" spans="1:11" x14ac:dyDescent="0.3">
      <c r="A78" s="4">
        <v>77</v>
      </c>
      <c r="B78" t="s">
        <v>13</v>
      </c>
      <c r="C78" s="1">
        <v>45654</v>
      </c>
      <c r="D78" s="1">
        <v>46928</v>
      </c>
      <c r="E78" t="s">
        <v>12</v>
      </c>
      <c r="F78" s="11">
        <f ca="1">IF(HR[[#This Row],[ Employee Status]]="exited",HR[[#This Row],[ExitDate]]-HR[[#This Row],[HireDate]],TODAY()-HR[[#This Row],[HireDate]])/365</f>
        <v>3.4904109589041097</v>
      </c>
      <c r="G78" s="4">
        <f>IF(HR[[#This Row],[ Employee Status]]="still working","",YEAR(HR[[#This Row],[ExitDate]]))</f>
        <v>2028</v>
      </c>
      <c r="H78" s="6">
        <v>10449</v>
      </c>
      <c r="I78" s="10">
        <v>4.53</v>
      </c>
      <c r="J78" s="10">
        <v>4.3499999999999996</v>
      </c>
      <c r="K78" s="4">
        <v>1</v>
      </c>
    </row>
    <row r="79" spans="1:11" x14ac:dyDescent="0.3">
      <c r="A79" s="4">
        <v>78</v>
      </c>
      <c r="B79" t="s">
        <v>13</v>
      </c>
      <c r="C79" s="1">
        <v>44331</v>
      </c>
      <c r="D79" s="1"/>
      <c r="E79" t="s">
        <v>8</v>
      </c>
      <c r="F79" s="11">
        <f ca="1">IF(HR[[#This Row],[ Employee Status]]="exited",HR[[#This Row],[ExitDate]]-HR[[#This Row],[HireDate]],TODAY()-HR[[#This Row],[HireDate]])/365</f>
        <v>5.1479452054794521</v>
      </c>
      <c r="G79" s="4" t="str">
        <f>IF(HR[[#This Row],[ Employee Status]]="still working","",YEAR(HR[[#This Row],[ExitDate]]))</f>
        <v/>
      </c>
      <c r="H79" s="6">
        <v>3404</v>
      </c>
      <c r="I79" s="10">
        <v>4.4400000000000004</v>
      </c>
      <c r="J79" s="10">
        <v>5</v>
      </c>
      <c r="K79" s="4">
        <v>5</v>
      </c>
    </row>
    <row r="80" spans="1:11" x14ac:dyDescent="0.3">
      <c r="A80" s="4">
        <v>79</v>
      </c>
      <c r="B80" t="s">
        <v>7</v>
      </c>
      <c r="C80" s="1">
        <v>43205</v>
      </c>
      <c r="D80" s="1">
        <v>44510</v>
      </c>
      <c r="E80" t="s">
        <v>12</v>
      </c>
      <c r="F80" s="11">
        <f ca="1">IF(HR[[#This Row],[ Employee Status]]="exited",HR[[#This Row],[ExitDate]]-HR[[#This Row],[HireDate]],TODAY()-HR[[#This Row],[HireDate]])/365</f>
        <v>3.5753424657534247</v>
      </c>
      <c r="G80" s="4">
        <f>IF(HR[[#This Row],[ Employee Status]]="still working","",YEAR(HR[[#This Row],[ExitDate]]))</f>
        <v>2021</v>
      </c>
      <c r="H80" s="6">
        <v>6636</v>
      </c>
      <c r="I80" s="10">
        <v>2.74</v>
      </c>
      <c r="J80" s="10">
        <v>2.8</v>
      </c>
      <c r="K80" s="4">
        <v>13</v>
      </c>
    </row>
    <row r="81" spans="1:11" x14ac:dyDescent="0.3">
      <c r="A81" s="4">
        <v>80</v>
      </c>
      <c r="B81" t="s">
        <v>7</v>
      </c>
      <c r="C81" s="1">
        <v>45134</v>
      </c>
      <c r="D81" s="1"/>
      <c r="E81" t="s">
        <v>8</v>
      </c>
      <c r="F81" s="11">
        <f ca="1">IF(HR[[#This Row],[ Employee Status]]="exited",HR[[#This Row],[ExitDate]]-HR[[#This Row],[HireDate]],TODAY()-HR[[#This Row],[HireDate]])/365</f>
        <v>2.9479452054794519</v>
      </c>
      <c r="G81" s="4" t="str">
        <f>IF(HR[[#This Row],[ Employee Status]]="still working","",YEAR(HR[[#This Row],[ExitDate]]))</f>
        <v/>
      </c>
      <c r="H81" s="6">
        <v>3716</v>
      </c>
      <c r="I81" s="10">
        <v>4.2699999999999996</v>
      </c>
      <c r="J81" s="10">
        <v>1.19</v>
      </c>
      <c r="K81" s="4">
        <v>7</v>
      </c>
    </row>
    <row r="82" spans="1:11" x14ac:dyDescent="0.3">
      <c r="A82" s="4">
        <v>81</v>
      </c>
      <c r="B82" t="s">
        <v>10</v>
      </c>
      <c r="C82" s="1">
        <v>43824</v>
      </c>
      <c r="D82" s="1"/>
      <c r="E82" t="s">
        <v>8</v>
      </c>
      <c r="F82" s="11">
        <f ca="1">IF(HR[[#This Row],[ Employee Status]]="exited",HR[[#This Row],[ExitDate]]-HR[[#This Row],[HireDate]],TODAY()-HR[[#This Row],[HireDate]])/365</f>
        <v>6.536986301369863</v>
      </c>
      <c r="G82" s="4" t="str">
        <f>IF(HR[[#This Row],[ Employee Status]]="still working","",YEAR(HR[[#This Row],[ExitDate]]))</f>
        <v/>
      </c>
      <c r="H82" s="6">
        <v>11865</v>
      </c>
      <c r="I82" s="10">
        <v>2.92</v>
      </c>
      <c r="J82" s="10">
        <v>4.2699999999999996</v>
      </c>
      <c r="K82" s="4">
        <v>11</v>
      </c>
    </row>
    <row r="83" spans="1:11" x14ac:dyDescent="0.3">
      <c r="A83" s="4">
        <v>82</v>
      </c>
      <c r="B83" t="s">
        <v>11</v>
      </c>
      <c r="C83" s="1">
        <v>43573</v>
      </c>
      <c r="D83" s="1"/>
      <c r="E83" t="s">
        <v>8</v>
      </c>
      <c r="F83" s="11">
        <f ca="1">IF(HR[[#This Row],[ Employee Status]]="exited",HR[[#This Row],[ExitDate]]-HR[[#This Row],[HireDate]],TODAY()-HR[[#This Row],[HireDate]])/365</f>
        <v>7.2246575342465755</v>
      </c>
      <c r="G83" s="4" t="str">
        <f>IF(HR[[#This Row],[ Employee Status]]="still working","",YEAR(HR[[#This Row],[ExitDate]]))</f>
        <v/>
      </c>
      <c r="H83" s="6">
        <v>7858</v>
      </c>
      <c r="I83" s="10">
        <v>2.09</v>
      </c>
      <c r="J83" s="10">
        <v>4.0199999999999996</v>
      </c>
      <c r="K83" s="4">
        <v>20</v>
      </c>
    </row>
    <row r="84" spans="1:11" x14ac:dyDescent="0.3">
      <c r="A84" s="4">
        <v>83</v>
      </c>
      <c r="B84" t="s">
        <v>14</v>
      </c>
      <c r="C84" s="1">
        <v>45341</v>
      </c>
      <c r="D84" s="1"/>
      <c r="E84" t="s">
        <v>8</v>
      </c>
      <c r="F84" s="11">
        <f ca="1">IF(HR[[#This Row],[ Employee Status]]="exited",HR[[#This Row],[ExitDate]]-HR[[#This Row],[HireDate]],TODAY()-HR[[#This Row],[HireDate]])/365</f>
        <v>2.3808219178082193</v>
      </c>
      <c r="G84" s="4" t="str">
        <f>IF(HR[[#This Row],[ Employee Status]]="still working","",YEAR(HR[[#This Row],[ExitDate]]))</f>
        <v/>
      </c>
      <c r="H84" s="6">
        <v>7530</v>
      </c>
      <c r="I84" s="10">
        <v>4.9400000000000004</v>
      </c>
      <c r="J84" s="10">
        <v>3.43</v>
      </c>
      <c r="K84" s="4">
        <v>17</v>
      </c>
    </row>
    <row r="85" spans="1:11" x14ac:dyDescent="0.3">
      <c r="A85" s="4">
        <v>84</v>
      </c>
      <c r="B85" t="s">
        <v>14</v>
      </c>
      <c r="C85" s="1">
        <v>43500</v>
      </c>
      <c r="D85" s="1"/>
      <c r="E85" t="s">
        <v>8</v>
      </c>
      <c r="F85" s="11">
        <f ca="1">IF(HR[[#This Row],[ Employee Status]]="exited",HR[[#This Row],[ExitDate]]-HR[[#This Row],[HireDate]],TODAY()-HR[[#This Row],[HireDate]])/365</f>
        <v>7.4246575342465757</v>
      </c>
      <c r="G85" s="4" t="str">
        <f>IF(HR[[#This Row],[ Employee Status]]="still working","",YEAR(HR[[#This Row],[ExitDate]]))</f>
        <v/>
      </c>
      <c r="H85" s="6">
        <v>13674</v>
      </c>
      <c r="I85" s="10">
        <v>3.54</v>
      </c>
      <c r="J85" s="10">
        <v>4.13</v>
      </c>
      <c r="K85" s="4">
        <v>27</v>
      </c>
    </row>
    <row r="86" spans="1:11" x14ac:dyDescent="0.3">
      <c r="A86" s="4">
        <v>85</v>
      </c>
      <c r="B86" t="s">
        <v>10</v>
      </c>
      <c r="C86" s="1">
        <v>43142</v>
      </c>
      <c r="D86" s="1"/>
      <c r="E86" t="s">
        <v>8</v>
      </c>
      <c r="F86" s="11">
        <f ca="1">IF(HR[[#This Row],[ Employee Status]]="exited",HR[[#This Row],[ExitDate]]-HR[[#This Row],[HireDate]],TODAY()-HR[[#This Row],[HireDate]])/365</f>
        <v>8.4054794520547951</v>
      </c>
      <c r="G86" s="4" t="str">
        <f>IF(HR[[#This Row],[ Employee Status]]="still working","",YEAR(HR[[#This Row],[ExitDate]]))</f>
        <v/>
      </c>
      <c r="H86" s="6">
        <v>10730</v>
      </c>
      <c r="I86" s="10">
        <v>3.38</v>
      </c>
      <c r="J86" s="10">
        <v>4.37</v>
      </c>
      <c r="K86" s="4">
        <v>16</v>
      </c>
    </row>
    <row r="87" spans="1:11" x14ac:dyDescent="0.3">
      <c r="A87" s="4">
        <v>86</v>
      </c>
      <c r="B87" t="s">
        <v>7</v>
      </c>
      <c r="C87" s="1">
        <v>44296</v>
      </c>
      <c r="D87" s="1"/>
      <c r="E87" t="s">
        <v>8</v>
      </c>
      <c r="F87" s="11">
        <f ca="1">IF(HR[[#This Row],[ Employee Status]]="exited",HR[[#This Row],[ExitDate]]-HR[[#This Row],[HireDate]],TODAY()-HR[[#This Row],[HireDate]])/365</f>
        <v>5.2438356164383562</v>
      </c>
      <c r="G87" s="4" t="str">
        <f>IF(HR[[#This Row],[ Employee Status]]="still working","",YEAR(HR[[#This Row],[ExitDate]]))</f>
        <v/>
      </c>
      <c r="H87" s="6">
        <v>13785</v>
      </c>
      <c r="I87" s="10">
        <v>2.63</v>
      </c>
      <c r="J87" s="10">
        <v>3.32</v>
      </c>
      <c r="K87" s="4">
        <v>10</v>
      </c>
    </row>
    <row r="88" spans="1:11" x14ac:dyDescent="0.3">
      <c r="A88" s="4">
        <v>87</v>
      </c>
      <c r="B88" t="s">
        <v>13</v>
      </c>
      <c r="C88" s="1">
        <v>44466</v>
      </c>
      <c r="D88" s="1"/>
      <c r="E88" t="s">
        <v>8</v>
      </c>
      <c r="F88" s="11">
        <f ca="1">IF(HR[[#This Row],[ Employee Status]]="exited",HR[[#This Row],[ExitDate]]-HR[[#This Row],[HireDate]],TODAY()-HR[[#This Row],[HireDate]])/365</f>
        <v>4.7780821917808218</v>
      </c>
      <c r="G88" s="4" t="str">
        <f>IF(HR[[#This Row],[ Employee Status]]="still working","",YEAR(HR[[#This Row],[ExitDate]]))</f>
        <v/>
      </c>
      <c r="H88" s="6">
        <v>10830</v>
      </c>
      <c r="I88" s="10">
        <v>2.42</v>
      </c>
      <c r="J88" s="10">
        <v>3.56</v>
      </c>
      <c r="K88" s="4">
        <v>7</v>
      </c>
    </row>
    <row r="89" spans="1:11" x14ac:dyDescent="0.3">
      <c r="A89" s="4">
        <v>88</v>
      </c>
      <c r="B89" t="s">
        <v>13</v>
      </c>
      <c r="C89" s="1">
        <v>45475</v>
      </c>
      <c r="D89" s="1"/>
      <c r="E89" t="s">
        <v>8</v>
      </c>
      <c r="F89" s="11">
        <f ca="1">IF(HR[[#This Row],[ Employee Status]]="exited",HR[[#This Row],[ExitDate]]-HR[[#This Row],[HireDate]],TODAY()-HR[[#This Row],[HireDate]])/365</f>
        <v>2.0136986301369864</v>
      </c>
      <c r="G89" s="4" t="str">
        <f>IF(HR[[#This Row],[ Employee Status]]="still working","",YEAR(HR[[#This Row],[ExitDate]]))</f>
        <v/>
      </c>
      <c r="H89" s="6">
        <v>14458</v>
      </c>
      <c r="I89" s="10">
        <v>4.92</v>
      </c>
      <c r="J89" s="10">
        <v>3.41</v>
      </c>
      <c r="K89" s="4">
        <v>18</v>
      </c>
    </row>
    <row r="90" spans="1:11" x14ac:dyDescent="0.3">
      <c r="A90" s="4">
        <v>89</v>
      </c>
      <c r="B90" t="s">
        <v>7</v>
      </c>
      <c r="C90" s="1">
        <v>45285</v>
      </c>
      <c r="D90" s="1"/>
      <c r="E90" t="s">
        <v>8</v>
      </c>
      <c r="F90" s="11">
        <f ca="1">IF(HR[[#This Row],[ Employee Status]]="exited",HR[[#This Row],[ExitDate]]-HR[[#This Row],[HireDate]],TODAY()-HR[[#This Row],[HireDate]])/365</f>
        <v>2.5342465753424657</v>
      </c>
      <c r="G90" s="4" t="str">
        <f>IF(HR[[#This Row],[ Employee Status]]="still working","",YEAR(HR[[#This Row],[ExitDate]]))</f>
        <v/>
      </c>
      <c r="H90" s="6">
        <v>8585</v>
      </c>
      <c r="I90" s="10">
        <v>2.27</v>
      </c>
      <c r="J90" s="10">
        <v>1.48</v>
      </c>
      <c r="K90" s="4">
        <v>8</v>
      </c>
    </row>
    <row r="91" spans="1:11" x14ac:dyDescent="0.3">
      <c r="A91" s="4">
        <v>90</v>
      </c>
      <c r="B91" t="s">
        <v>11</v>
      </c>
      <c r="C91" s="1">
        <v>43758</v>
      </c>
      <c r="D91" s="1"/>
      <c r="E91" t="s">
        <v>8</v>
      </c>
      <c r="F91" s="11">
        <f ca="1">IF(HR[[#This Row],[ Employee Status]]="exited",HR[[#This Row],[ExitDate]]-HR[[#This Row],[HireDate]],TODAY()-HR[[#This Row],[HireDate]])/365</f>
        <v>6.7178082191780826</v>
      </c>
      <c r="G91" s="4" t="str">
        <f>IF(HR[[#This Row],[ Employee Status]]="still working","",YEAR(HR[[#This Row],[ExitDate]]))</f>
        <v/>
      </c>
      <c r="H91" s="6">
        <v>5593</v>
      </c>
      <c r="I91" s="10">
        <v>2.96</v>
      </c>
      <c r="J91" s="10">
        <v>1.37</v>
      </c>
      <c r="K91" s="4">
        <v>14</v>
      </c>
    </row>
    <row r="92" spans="1:11" x14ac:dyDescent="0.3">
      <c r="A92" s="4">
        <v>91</v>
      </c>
      <c r="B92" t="s">
        <v>11</v>
      </c>
      <c r="C92" s="1">
        <v>43122</v>
      </c>
      <c r="D92" s="1"/>
      <c r="E92" t="s">
        <v>8</v>
      </c>
      <c r="F92" s="11">
        <f ca="1">IF(HR[[#This Row],[ Employee Status]]="exited",HR[[#This Row],[ExitDate]]-HR[[#This Row],[HireDate]],TODAY()-HR[[#This Row],[HireDate]])/365</f>
        <v>8.4602739726027405</v>
      </c>
      <c r="G92" s="4" t="str">
        <f>IF(HR[[#This Row],[ Employee Status]]="still working","",YEAR(HR[[#This Row],[ExitDate]]))</f>
        <v/>
      </c>
      <c r="H92" s="6">
        <v>5878</v>
      </c>
      <c r="I92" s="10">
        <v>4.5999999999999996</v>
      </c>
      <c r="J92" s="10">
        <v>1.34</v>
      </c>
      <c r="K92" s="4">
        <v>2</v>
      </c>
    </row>
    <row r="93" spans="1:11" x14ac:dyDescent="0.3">
      <c r="A93" s="4">
        <v>92</v>
      </c>
      <c r="B93" t="s">
        <v>11</v>
      </c>
      <c r="C93" s="1">
        <v>44683</v>
      </c>
      <c r="D93" s="1"/>
      <c r="E93" t="s">
        <v>8</v>
      </c>
      <c r="F93" s="11">
        <f ca="1">IF(HR[[#This Row],[ Employee Status]]="exited",HR[[#This Row],[ExitDate]]-HR[[#This Row],[HireDate]],TODAY()-HR[[#This Row],[HireDate]])/365</f>
        <v>4.183561643835616</v>
      </c>
      <c r="G93" s="4" t="str">
        <f>IF(HR[[#This Row],[ Employee Status]]="still working","",YEAR(HR[[#This Row],[ExitDate]]))</f>
        <v/>
      </c>
      <c r="H93" s="6">
        <v>11717</v>
      </c>
      <c r="I93" s="10">
        <v>3.39</v>
      </c>
      <c r="J93" s="10">
        <v>3.99</v>
      </c>
      <c r="K93" s="4">
        <v>13</v>
      </c>
    </row>
    <row r="94" spans="1:11" x14ac:dyDescent="0.3">
      <c r="A94" s="4">
        <v>93</v>
      </c>
      <c r="B94" t="s">
        <v>14</v>
      </c>
      <c r="C94" s="1">
        <v>45283</v>
      </c>
      <c r="D94" s="1"/>
      <c r="E94" t="s">
        <v>8</v>
      </c>
      <c r="F94" s="11">
        <f ca="1">IF(HR[[#This Row],[ Employee Status]]="exited",HR[[#This Row],[ExitDate]]-HR[[#This Row],[HireDate]],TODAY()-HR[[#This Row],[HireDate]])/365</f>
        <v>2.5397260273972604</v>
      </c>
      <c r="G94" s="4" t="str">
        <f>IF(HR[[#This Row],[ Employee Status]]="still working","",YEAR(HR[[#This Row],[ExitDate]]))</f>
        <v/>
      </c>
      <c r="H94" s="6">
        <v>8126</v>
      </c>
      <c r="I94" s="10">
        <v>4.25</v>
      </c>
      <c r="J94" s="10">
        <v>1.1200000000000001</v>
      </c>
      <c r="K94" s="4">
        <v>17</v>
      </c>
    </row>
    <row r="95" spans="1:11" x14ac:dyDescent="0.3">
      <c r="A95" s="4">
        <v>94</v>
      </c>
      <c r="B95" t="s">
        <v>14</v>
      </c>
      <c r="C95" s="1">
        <v>44507</v>
      </c>
      <c r="D95" s="1"/>
      <c r="E95" t="s">
        <v>8</v>
      </c>
      <c r="F95" s="11">
        <f ca="1">IF(HR[[#This Row],[ Employee Status]]="exited",HR[[#This Row],[ExitDate]]-HR[[#This Row],[HireDate]],TODAY()-HR[[#This Row],[HireDate]])/365</f>
        <v>4.6657534246575345</v>
      </c>
      <c r="G95" s="4" t="str">
        <f>IF(HR[[#This Row],[ Employee Status]]="still working","",YEAR(HR[[#This Row],[ExitDate]]))</f>
        <v/>
      </c>
      <c r="H95" s="6">
        <v>4906</v>
      </c>
      <c r="I95" s="10">
        <v>3.13</v>
      </c>
      <c r="J95" s="10">
        <v>1.08</v>
      </c>
      <c r="K95" s="4">
        <v>24</v>
      </c>
    </row>
    <row r="96" spans="1:11" x14ac:dyDescent="0.3">
      <c r="A96" s="4">
        <v>95</v>
      </c>
      <c r="B96" t="s">
        <v>11</v>
      </c>
      <c r="C96" s="1">
        <v>43685</v>
      </c>
      <c r="D96" s="1">
        <v>44385</v>
      </c>
      <c r="E96" t="s">
        <v>12</v>
      </c>
      <c r="F96" s="11">
        <f ca="1">IF(HR[[#This Row],[ Employee Status]]="exited",HR[[#This Row],[ExitDate]]-HR[[#This Row],[HireDate]],TODAY()-HR[[#This Row],[HireDate]])/365</f>
        <v>1.9178082191780821</v>
      </c>
      <c r="G96" s="4">
        <f>IF(HR[[#This Row],[ Employee Status]]="still working","",YEAR(HR[[#This Row],[ExitDate]]))</f>
        <v>2021</v>
      </c>
      <c r="H96" s="6">
        <v>10641</v>
      </c>
      <c r="I96" s="10">
        <v>3.03</v>
      </c>
      <c r="J96" s="10">
        <v>2.9</v>
      </c>
      <c r="K96" s="4">
        <v>9</v>
      </c>
    </row>
    <row r="97" spans="1:11" x14ac:dyDescent="0.3">
      <c r="A97" s="4">
        <v>96</v>
      </c>
      <c r="B97" t="s">
        <v>7</v>
      </c>
      <c r="C97" s="1">
        <v>45576</v>
      </c>
      <c r="D97" s="1">
        <v>46229</v>
      </c>
      <c r="E97" t="s">
        <v>12</v>
      </c>
      <c r="F97" s="11">
        <f ca="1">IF(HR[[#This Row],[ Employee Status]]="exited",HR[[#This Row],[ExitDate]]-HR[[#This Row],[HireDate]],TODAY()-HR[[#This Row],[HireDate]])/365</f>
        <v>1.789041095890411</v>
      </c>
      <c r="G97" s="4">
        <f>IF(HR[[#This Row],[ Employee Status]]="still working","",YEAR(HR[[#This Row],[ExitDate]]))</f>
        <v>2026</v>
      </c>
      <c r="H97" s="6">
        <v>12361</v>
      </c>
      <c r="I97" s="10">
        <v>3.76</v>
      </c>
      <c r="J97" s="10">
        <v>3.98</v>
      </c>
      <c r="K97" s="4">
        <v>16</v>
      </c>
    </row>
    <row r="98" spans="1:11" x14ac:dyDescent="0.3">
      <c r="A98" s="4">
        <v>97</v>
      </c>
      <c r="B98" t="s">
        <v>10</v>
      </c>
      <c r="C98" s="1">
        <v>45605</v>
      </c>
      <c r="D98" s="1"/>
      <c r="E98" t="s">
        <v>8</v>
      </c>
      <c r="F98" s="11">
        <f ca="1">IF(HR[[#This Row],[ Employee Status]]="exited",HR[[#This Row],[ExitDate]]-HR[[#This Row],[HireDate]],TODAY()-HR[[#This Row],[HireDate]])/365</f>
        <v>1.6575342465753424</v>
      </c>
      <c r="G98" s="4" t="str">
        <f>IF(HR[[#This Row],[ Employee Status]]="still working","",YEAR(HR[[#This Row],[ExitDate]]))</f>
        <v/>
      </c>
      <c r="H98" s="6">
        <v>5472</v>
      </c>
      <c r="I98" s="10">
        <v>3.82</v>
      </c>
      <c r="J98" s="10">
        <v>1.98</v>
      </c>
      <c r="K98" s="4">
        <v>26</v>
      </c>
    </row>
    <row r="99" spans="1:11" x14ac:dyDescent="0.3">
      <c r="A99" s="4">
        <v>98</v>
      </c>
      <c r="B99" t="s">
        <v>7</v>
      </c>
      <c r="C99" s="1">
        <v>43167</v>
      </c>
      <c r="D99" s="1">
        <v>43407</v>
      </c>
      <c r="E99" t="s">
        <v>12</v>
      </c>
      <c r="F99" s="11">
        <f ca="1">IF(HR[[#This Row],[ Employee Status]]="exited",HR[[#This Row],[ExitDate]]-HR[[#This Row],[HireDate]],TODAY()-HR[[#This Row],[HireDate]])/365</f>
        <v>0.65753424657534243</v>
      </c>
      <c r="G99" s="4">
        <f>IF(HR[[#This Row],[ Employee Status]]="still working","",YEAR(HR[[#This Row],[ExitDate]]))</f>
        <v>2018</v>
      </c>
      <c r="H99" s="6">
        <v>14640</v>
      </c>
      <c r="I99" s="10">
        <v>2.46</v>
      </c>
      <c r="J99" s="10">
        <v>1.98</v>
      </c>
      <c r="K99" s="4">
        <v>3</v>
      </c>
    </row>
    <row r="100" spans="1:11" x14ac:dyDescent="0.3">
      <c r="A100" s="4">
        <v>99</v>
      </c>
      <c r="B100" t="s">
        <v>11</v>
      </c>
      <c r="C100" s="1">
        <v>44405</v>
      </c>
      <c r="D100" s="1">
        <v>45388</v>
      </c>
      <c r="E100" t="s">
        <v>12</v>
      </c>
      <c r="F100" s="11">
        <f ca="1">IF(HR[[#This Row],[ Employee Status]]="exited",HR[[#This Row],[ExitDate]]-HR[[#This Row],[HireDate]],TODAY()-HR[[#This Row],[HireDate]])/365</f>
        <v>2.6931506849315068</v>
      </c>
      <c r="G100" s="4">
        <f>IF(HR[[#This Row],[ Employee Status]]="still working","",YEAR(HR[[#This Row],[ExitDate]]))</f>
        <v>2024</v>
      </c>
      <c r="H100" s="6">
        <v>13589</v>
      </c>
      <c r="I100" s="10">
        <v>2.2400000000000002</v>
      </c>
      <c r="J100" s="10">
        <v>3.1</v>
      </c>
      <c r="K100" s="4">
        <v>7</v>
      </c>
    </row>
    <row r="101" spans="1:11" x14ac:dyDescent="0.3">
      <c r="A101" s="4">
        <v>100</v>
      </c>
      <c r="B101" t="s">
        <v>11</v>
      </c>
      <c r="C101" s="1">
        <v>44364</v>
      </c>
      <c r="D101" s="1"/>
      <c r="E101" t="s">
        <v>8</v>
      </c>
      <c r="F101" s="11">
        <f ca="1">IF(HR[[#This Row],[ Employee Status]]="exited",HR[[#This Row],[ExitDate]]-HR[[#This Row],[HireDate]],TODAY()-HR[[#This Row],[HireDate]])/365</f>
        <v>5.0575342465753428</v>
      </c>
      <c r="G101" s="4" t="str">
        <f>IF(HR[[#This Row],[ Employee Status]]="still working","",YEAR(HR[[#This Row],[ExitDate]]))</f>
        <v/>
      </c>
      <c r="H101" s="6">
        <v>10489</v>
      </c>
      <c r="I101" s="10">
        <v>2.02</v>
      </c>
      <c r="J101" s="10">
        <v>4.9000000000000004</v>
      </c>
      <c r="K101" s="4">
        <v>29</v>
      </c>
    </row>
    <row r="102" spans="1:11" x14ac:dyDescent="0.3">
      <c r="A102" s="4">
        <v>101</v>
      </c>
      <c r="B102" t="s">
        <v>14</v>
      </c>
      <c r="C102" s="1">
        <v>43942</v>
      </c>
      <c r="D102" s="1"/>
      <c r="E102" t="s">
        <v>8</v>
      </c>
      <c r="F102" s="11">
        <f ca="1">IF(HR[[#This Row],[ Employee Status]]="exited",HR[[#This Row],[ExitDate]]-HR[[#This Row],[HireDate]],TODAY()-HR[[#This Row],[HireDate]])/365</f>
        <v>6.2136986301369861</v>
      </c>
      <c r="G102" s="4" t="str">
        <f>IF(HR[[#This Row],[ Employee Status]]="still working","",YEAR(HR[[#This Row],[ExitDate]]))</f>
        <v/>
      </c>
      <c r="H102" s="6">
        <v>8560</v>
      </c>
      <c r="I102" s="10">
        <v>3.43</v>
      </c>
      <c r="J102" s="10">
        <v>4.3499999999999996</v>
      </c>
      <c r="K102" s="4">
        <v>4</v>
      </c>
    </row>
    <row r="103" spans="1:11" x14ac:dyDescent="0.3">
      <c r="A103" s="4">
        <v>102</v>
      </c>
      <c r="B103" t="s">
        <v>11</v>
      </c>
      <c r="C103" s="1">
        <v>44988</v>
      </c>
      <c r="D103" s="1"/>
      <c r="E103" t="s">
        <v>8</v>
      </c>
      <c r="F103" s="11">
        <f ca="1">IF(HR[[#This Row],[ Employee Status]]="exited",HR[[#This Row],[ExitDate]]-HR[[#This Row],[HireDate]],TODAY()-HR[[#This Row],[HireDate]])/365</f>
        <v>3.3479452054794518</v>
      </c>
      <c r="G103" s="4" t="str">
        <f>IF(HR[[#This Row],[ Employee Status]]="still working","",YEAR(HR[[#This Row],[ExitDate]]))</f>
        <v/>
      </c>
      <c r="H103" s="6">
        <v>13002</v>
      </c>
      <c r="I103" s="10">
        <v>3.59</v>
      </c>
      <c r="J103" s="10">
        <v>3.83</v>
      </c>
      <c r="K103" s="4">
        <v>13</v>
      </c>
    </row>
    <row r="104" spans="1:11" x14ac:dyDescent="0.3">
      <c r="A104" s="4">
        <v>103</v>
      </c>
      <c r="B104" t="s">
        <v>7</v>
      </c>
      <c r="C104" s="1">
        <v>44517</v>
      </c>
      <c r="D104" s="1"/>
      <c r="E104" t="s">
        <v>8</v>
      </c>
      <c r="F104" s="11">
        <f ca="1">IF(HR[[#This Row],[ Employee Status]]="exited",HR[[#This Row],[ExitDate]]-HR[[#This Row],[HireDate]],TODAY()-HR[[#This Row],[HireDate]])/365</f>
        <v>4.6383561643835618</v>
      </c>
      <c r="G104" s="4" t="str">
        <f>IF(HR[[#This Row],[ Employee Status]]="still working","",YEAR(HR[[#This Row],[ExitDate]]))</f>
        <v/>
      </c>
      <c r="H104" s="6">
        <v>4917</v>
      </c>
      <c r="I104" s="10">
        <v>3.6</v>
      </c>
      <c r="J104" s="10">
        <v>1.21</v>
      </c>
      <c r="K104" s="4">
        <v>17</v>
      </c>
    </row>
    <row r="105" spans="1:11" x14ac:dyDescent="0.3">
      <c r="A105" s="4">
        <v>104</v>
      </c>
      <c r="B105" t="s">
        <v>7</v>
      </c>
      <c r="C105" s="1">
        <v>45427</v>
      </c>
      <c r="D105" s="1"/>
      <c r="E105" t="s">
        <v>8</v>
      </c>
      <c r="F105" s="11">
        <f ca="1">IF(HR[[#This Row],[ Employee Status]]="exited",HR[[#This Row],[ExitDate]]-HR[[#This Row],[HireDate]],TODAY()-HR[[#This Row],[HireDate]])/365</f>
        <v>2.1452054794520548</v>
      </c>
      <c r="G105" s="4" t="str">
        <f>IF(HR[[#This Row],[ Employee Status]]="still working","",YEAR(HR[[#This Row],[ExitDate]]))</f>
        <v/>
      </c>
      <c r="H105" s="6">
        <v>9038</v>
      </c>
      <c r="I105" s="10">
        <v>4.05</v>
      </c>
      <c r="J105" s="10">
        <v>1.35</v>
      </c>
      <c r="K105" s="4">
        <v>4</v>
      </c>
    </row>
    <row r="106" spans="1:11" x14ac:dyDescent="0.3">
      <c r="A106" s="4">
        <v>105</v>
      </c>
      <c r="B106" t="s">
        <v>13</v>
      </c>
      <c r="C106" s="1">
        <v>44357</v>
      </c>
      <c r="D106" s="1"/>
      <c r="E106" t="s">
        <v>8</v>
      </c>
      <c r="F106" s="11">
        <f ca="1">IF(HR[[#This Row],[ Employee Status]]="exited",HR[[#This Row],[ExitDate]]-HR[[#This Row],[HireDate]],TODAY()-HR[[#This Row],[HireDate]])/365</f>
        <v>5.0767123287671234</v>
      </c>
      <c r="G106" s="4" t="str">
        <f>IF(HR[[#This Row],[ Employee Status]]="still working","",YEAR(HR[[#This Row],[ExitDate]]))</f>
        <v/>
      </c>
      <c r="H106" s="6">
        <v>4994</v>
      </c>
      <c r="I106" s="10">
        <v>4.38</v>
      </c>
      <c r="J106" s="10">
        <v>1.43</v>
      </c>
      <c r="K106" s="4">
        <v>4</v>
      </c>
    </row>
    <row r="107" spans="1:11" x14ac:dyDescent="0.3">
      <c r="A107" s="4">
        <v>106</v>
      </c>
      <c r="B107" t="s">
        <v>9</v>
      </c>
      <c r="C107" s="1">
        <v>43113</v>
      </c>
      <c r="D107" s="1">
        <v>44185</v>
      </c>
      <c r="E107" t="s">
        <v>12</v>
      </c>
      <c r="F107" s="11">
        <f ca="1">IF(HR[[#This Row],[ Employee Status]]="exited",HR[[#This Row],[ExitDate]]-HR[[#This Row],[HireDate]],TODAY()-HR[[#This Row],[HireDate]])/365</f>
        <v>2.9369863013698629</v>
      </c>
      <c r="G107" s="4">
        <f>IF(HR[[#This Row],[ Employee Status]]="still working","",YEAR(HR[[#This Row],[ExitDate]]))</f>
        <v>2020</v>
      </c>
      <c r="H107" s="6">
        <v>13161</v>
      </c>
      <c r="I107" s="10">
        <v>4.82</v>
      </c>
      <c r="J107" s="10">
        <v>1.72</v>
      </c>
      <c r="K107" s="4">
        <v>2</v>
      </c>
    </row>
    <row r="108" spans="1:11" x14ac:dyDescent="0.3">
      <c r="A108" s="4">
        <v>107</v>
      </c>
      <c r="B108" t="s">
        <v>11</v>
      </c>
      <c r="C108" s="1">
        <v>44380</v>
      </c>
      <c r="D108" s="1">
        <v>44958</v>
      </c>
      <c r="E108" t="s">
        <v>12</v>
      </c>
      <c r="F108" s="11">
        <f ca="1">IF(HR[[#This Row],[ Employee Status]]="exited",HR[[#This Row],[ExitDate]]-HR[[#This Row],[HireDate]],TODAY()-HR[[#This Row],[HireDate]])/365</f>
        <v>1.5835616438356164</v>
      </c>
      <c r="G108" s="4">
        <f>IF(HR[[#This Row],[ Employee Status]]="still working","",YEAR(HR[[#This Row],[ExitDate]]))</f>
        <v>2023</v>
      </c>
      <c r="H108" s="6">
        <v>14835</v>
      </c>
      <c r="I108" s="10">
        <v>4.3899999999999997</v>
      </c>
      <c r="J108" s="10">
        <v>1.81</v>
      </c>
      <c r="K108" s="4">
        <v>29</v>
      </c>
    </row>
    <row r="109" spans="1:11" x14ac:dyDescent="0.3">
      <c r="A109" s="4">
        <v>108</v>
      </c>
      <c r="B109" t="s">
        <v>7</v>
      </c>
      <c r="C109" s="1">
        <v>43429</v>
      </c>
      <c r="D109" s="1">
        <v>44494</v>
      </c>
      <c r="E109" t="s">
        <v>12</v>
      </c>
      <c r="F109" s="11">
        <f ca="1">IF(HR[[#This Row],[ Employee Status]]="exited",HR[[#This Row],[ExitDate]]-HR[[#This Row],[HireDate]],TODAY()-HR[[#This Row],[HireDate]])/365</f>
        <v>2.9178082191780823</v>
      </c>
      <c r="G109" s="4">
        <f>IF(HR[[#This Row],[ Employee Status]]="still working","",YEAR(HR[[#This Row],[ExitDate]]))</f>
        <v>2021</v>
      </c>
      <c r="H109" s="6">
        <v>5898</v>
      </c>
      <c r="I109" s="10">
        <v>3.08</v>
      </c>
      <c r="J109" s="10">
        <v>4.51</v>
      </c>
      <c r="K109" s="4">
        <v>24</v>
      </c>
    </row>
    <row r="110" spans="1:11" x14ac:dyDescent="0.3">
      <c r="A110" s="4">
        <v>109</v>
      </c>
      <c r="B110" t="s">
        <v>11</v>
      </c>
      <c r="C110" s="1">
        <v>44319</v>
      </c>
      <c r="D110" s="1"/>
      <c r="E110" t="s">
        <v>8</v>
      </c>
      <c r="F110" s="11">
        <f ca="1">IF(HR[[#This Row],[ Employee Status]]="exited",HR[[#This Row],[ExitDate]]-HR[[#This Row],[HireDate]],TODAY()-HR[[#This Row],[HireDate]])/365</f>
        <v>5.1808219178082195</v>
      </c>
      <c r="G110" s="4" t="str">
        <f>IF(HR[[#This Row],[ Employee Status]]="still working","",YEAR(HR[[#This Row],[ExitDate]]))</f>
        <v/>
      </c>
      <c r="H110" s="6">
        <v>9943</v>
      </c>
      <c r="I110" s="10">
        <v>4.24</v>
      </c>
      <c r="J110" s="10">
        <v>3.01</v>
      </c>
      <c r="K110" s="4">
        <v>24</v>
      </c>
    </row>
    <row r="111" spans="1:11" x14ac:dyDescent="0.3">
      <c r="A111" s="4">
        <v>110</v>
      </c>
      <c r="B111" t="s">
        <v>10</v>
      </c>
      <c r="C111" s="1">
        <v>43849</v>
      </c>
      <c r="D111" s="1"/>
      <c r="E111" t="s">
        <v>8</v>
      </c>
      <c r="F111" s="11">
        <f ca="1">IF(HR[[#This Row],[ Employee Status]]="exited",HR[[#This Row],[ExitDate]]-HR[[#This Row],[HireDate]],TODAY()-HR[[#This Row],[HireDate]])/365</f>
        <v>6.4684931506849317</v>
      </c>
      <c r="G111" s="4" t="str">
        <f>IF(HR[[#This Row],[ Employee Status]]="still working","",YEAR(HR[[#This Row],[ExitDate]]))</f>
        <v/>
      </c>
      <c r="H111" s="6">
        <v>4997</v>
      </c>
      <c r="I111" s="10">
        <v>3.63</v>
      </c>
      <c r="J111" s="10">
        <v>2.73</v>
      </c>
      <c r="K111" s="4">
        <v>2</v>
      </c>
    </row>
    <row r="112" spans="1:11" x14ac:dyDescent="0.3">
      <c r="A112" s="4">
        <v>111</v>
      </c>
      <c r="B112" t="s">
        <v>10</v>
      </c>
      <c r="C112" s="1">
        <v>45270</v>
      </c>
      <c r="D112" s="1"/>
      <c r="E112" t="s">
        <v>8</v>
      </c>
      <c r="F112" s="11">
        <f ca="1">IF(HR[[#This Row],[ Employee Status]]="exited",HR[[#This Row],[ExitDate]]-HR[[#This Row],[HireDate]],TODAY()-HR[[#This Row],[HireDate]])/365</f>
        <v>2.5753424657534247</v>
      </c>
      <c r="G112" s="4" t="str">
        <f>IF(HR[[#This Row],[ Employee Status]]="still working","",YEAR(HR[[#This Row],[ExitDate]]))</f>
        <v/>
      </c>
      <c r="H112" s="6">
        <v>8567</v>
      </c>
      <c r="I112" s="10">
        <v>3.49</v>
      </c>
      <c r="J112" s="10">
        <v>3.97</v>
      </c>
      <c r="K112" s="4">
        <v>26</v>
      </c>
    </row>
    <row r="113" spans="1:11" x14ac:dyDescent="0.3">
      <c r="A113" s="4">
        <v>112</v>
      </c>
      <c r="B113" t="s">
        <v>11</v>
      </c>
      <c r="C113" s="1">
        <v>45608</v>
      </c>
      <c r="D113" s="1">
        <v>45959</v>
      </c>
      <c r="E113" t="s">
        <v>12</v>
      </c>
      <c r="F113" s="11">
        <f ca="1">IF(HR[[#This Row],[ Employee Status]]="exited",HR[[#This Row],[ExitDate]]-HR[[#This Row],[HireDate]],TODAY()-HR[[#This Row],[HireDate]])/365</f>
        <v>0.9616438356164384</v>
      </c>
      <c r="G113" s="4">
        <f>IF(HR[[#This Row],[ Employee Status]]="still working","",YEAR(HR[[#This Row],[ExitDate]]))</f>
        <v>2025</v>
      </c>
      <c r="H113" s="6">
        <v>4120</v>
      </c>
      <c r="I113" s="10">
        <v>2.4300000000000002</v>
      </c>
      <c r="J113" s="10">
        <v>1.82</v>
      </c>
      <c r="K113" s="4">
        <v>1</v>
      </c>
    </row>
    <row r="114" spans="1:11" x14ac:dyDescent="0.3">
      <c r="A114" s="4">
        <v>113</v>
      </c>
      <c r="B114" t="s">
        <v>14</v>
      </c>
      <c r="C114" s="1">
        <v>43807</v>
      </c>
      <c r="D114" s="1">
        <v>44036</v>
      </c>
      <c r="E114" t="s">
        <v>12</v>
      </c>
      <c r="F114" s="11">
        <f ca="1">IF(HR[[#This Row],[ Employee Status]]="exited",HR[[#This Row],[ExitDate]]-HR[[#This Row],[HireDate]],TODAY()-HR[[#This Row],[HireDate]])/365</f>
        <v>0.62739726027397258</v>
      </c>
      <c r="G114" s="4">
        <f>IF(HR[[#This Row],[ Employee Status]]="still working","",YEAR(HR[[#This Row],[ExitDate]]))</f>
        <v>2020</v>
      </c>
      <c r="H114" s="6">
        <v>4865</v>
      </c>
      <c r="I114" s="10">
        <v>2.33</v>
      </c>
      <c r="J114" s="10">
        <v>4.3899999999999997</v>
      </c>
      <c r="K114" s="4">
        <v>23</v>
      </c>
    </row>
    <row r="115" spans="1:11" x14ac:dyDescent="0.3">
      <c r="A115" s="4">
        <v>114</v>
      </c>
      <c r="B115" t="s">
        <v>7</v>
      </c>
      <c r="C115" s="1">
        <v>43581</v>
      </c>
      <c r="D115" s="1"/>
      <c r="E115" t="s">
        <v>8</v>
      </c>
      <c r="F115" s="11">
        <f ca="1">IF(HR[[#This Row],[ Employee Status]]="exited",HR[[#This Row],[ExitDate]]-HR[[#This Row],[HireDate]],TODAY()-HR[[#This Row],[HireDate]])/365</f>
        <v>7.2027397260273975</v>
      </c>
      <c r="G115" s="4" t="str">
        <f>IF(HR[[#This Row],[ Employee Status]]="still working","",YEAR(HR[[#This Row],[ExitDate]]))</f>
        <v/>
      </c>
      <c r="H115" s="6">
        <v>6719</v>
      </c>
      <c r="I115" s="10">
        <v>4.17</v>
      </c>
      <c r="J115" s="10">
        <v>3.88</v>
      </c>
      <c r="K115" s="4">
        <v>18</v>
      </c>
    </row>
    <row r="116" spans="1:11" x14ac:dyDescent="0.3">
      <c r="A116" s="4">
        <v>115</v>
      </c>
      <c r="B116" t="s">
        <v>9</v>
      </c>
      <c r="C116" s="1">
        <v>44385</v>
      </c>
      <c r="D116" s="1"/>
      <c r="E116" t="s">
        <v>8</v>
      </c>
      <c r="F116" s="11">
        <f ca="1">IF(HR[[#This Row],[ Employee Status]]="exited",HR[[#This Row],[ExitDate]]-HR[[#This Row],[HireDate]],TODAY()-HR[[#This Row],[HireDate]])/365</f>
        <v>5</v>
      </c>
      <c r="G116" s="4" t="str">
        <f>IF(HR[[#This Row],[ Employee Status]]="still working","",YEAR(HR[[#This Row],[ExitDate]]))</f>
        <v/>
      </c>
      <c r="H116" s="6">
        <v>3793</v>
      </c>
      <c r="I116" s="10">
        <v>2.54</v>
      </c>
      <c r="J116" s="10">
        <v>4.63</v>
      </c>
      <c r="K116" s="4">
        <v>5</v>
      </c>
    </row>
    <row r="117" spans="1:11" x14ac:dyDescent="0.3">
      <c r="A117" s="4">
        <v>116</v>
      </c>
      <c r="B117" t="s">
        <v>10</v>
      </c>
      <c r="C117" s="1">
        <v>43373</v>
      </c>
      <c r="D117" s="1"/>
      <c r="E117" t="s">
        <v>8</v>
      </c>
      <c r="F117" s="11">
        <f ca="1">IF(HR[[#This Row],[ Employee Status]]="exited",HR[[#This Row],[ExitDate]]-HR[[#This Row],[HireDate]],TODAY()-HR[[#This Row],[HireDate]])/365</f>
        <v>7.7726027397260271</v>
      </c>
      <c r="G117" s="4" t="str">
        <f>IF(HR[[#This Row],[ Employee Status]]="still working","",YEAR(HR[[#This Row],[ExitDate]]))</f>
        <v/>
      </c>
      <c r="H117" s="6">
        <v>13541</v>
      </c>
      <c r="I117" s="10">
        <v>2.42</v>
      </c>
      <c r="J117" s="10">
        <v>1.4</v>
      </c>
      <c r="K117" s="4">
        <v>0</v>
      </c>
    </row>
    <row r="118" spans="1:11" x14ac:dyDescent="0.3">
      <c r="A118" s="4">
        <v>117</v>
      </c>
      <c r="B118" t="s">
        <v>9</v>
      </c>
      <c r="C118" s="1">
        <v>44998</v>
      </c>
      <c r="D118" s="1"/>
      <c r="E118" t="s">
        <v>8</v>
      </c>
      <c r="F118" s="11">
        <f ca="1">IF(HR[[#This Row],[ Employee Status]]="exited",HR[[#This Row],[ExitDate]]-HR[[#This Row],[HireDate]],TODAY()-HR[[#This Row],[HireDate]])/365</f>
        <v>3.3205479452054796</v>
      </c>
      <c r="G118" s="4" t="str">
        <f>IF(HR[[#This Row],[ Employee Status]]="still working","",YEAR(HR[[#This Row],[ExitDate]]))</f>
        <v/>
      </c>
      <c r="H118" s="6">
        <v>13922</v>
      </c>
      <c r="I118" s="10">
        <v>4.09</v>
      </c>
      <c r="J118" s="10">
        <v>4.6900000000000004</v>
      </c>
      <c r="K118" s="4">
        <v>7</v>
      </c>
    </row>
    <row r="119" spans="1:11" x14ac:dyDescent="0.3">
      <c r="A119" s="4">
        <v>118</v>
      </c>
      <c r="B119" t="s">
        <v>13</v>
      </c>
      <c r="C119" s="1">
        <v>44098</v>
      </c>
      <c r="D119" s="1"/>
      <c r="E119" t="s">
        <v>8</v>
      </c>
      <c r="F119" s="11">
        <f ca="1">IF(HR[[#This Row],[ Employee Status]]="exited",HR[[#This Row],[ExitDate]]-HR[[#This Row],[HireDate]],TODAY()-HR[[#This Row],[HireDate]])/365</f>
        <v>5.7863013698630139</v>
      </c>
      <c r="G119" s="4" t="str">
        <f>IF(HR[[#This Row],[ Employee Status]]="still working","",YEAR(HR[[#This Row],[ExitDate]]))</f>
        <v/>
      </c>
      <c r="H119" s="6">
        <v>11795</v>
      </c>
      <c r="I119" s="10">
        <v>2.23</v>
      </c>
      <c r="J119" s="10">
        <v>1.42</v>
      </c>
      <c r="K119" s="4">
        <v>8</v>
      </c>
    </row>
    <row r="120" spans="1:11" x14ac:dyDescent="0.3">
      <c r="A120" s="4">
        <v>119</v>
      </c>
      <c r="B120" t="s">
        <v>13</v>
      </c>
      <c r="C120" s="1">
        <v>44207</v>
      </c>
      <c r="D120" s="1">
        <v>44288</v>
      </c>
      <c r="E120" t="s">
        <v>12</v>
      </c>
      <c r="F120" s="11">
        <f ca="1">IF(HR[[#This Row],[ Employee Status]]="exited",HR[[#This Row],[ExitDate]]-HR[[#This Row],[HireDate]],TODAY()-HR[[#This Row],[HireDate]])/365</f>
        <v>0.22191780821917809</v>
      </c>
      <c r="G120" s="4">
        <f>IF(HR[[#This Row],[ Employee Status]]="still working","",YEAR(HR[[#This Row],[ExitDate]]))</f>
        <v>2021</v>
      </c>
      <c r="H120" s="6">
        <v>14053</v>
      </c>
      <c r="I120" s="10">
        <v>2.56</v>
      </c>
      <c r="J120" s="10">
        <v>4.3499999999999996</v>
      </c>
      <c r="K120" s="4">
        <v>0</v>
      </c>
    </row>
    <row r="121" spans="1:11" x14ac:dyDescent="0.3">
      <c r="A121" s="4">
        <v>120</v>
      </c>
      <c r="B121" t="s">
        <v>14</v>
      </c>
      <c r="C121" s="1">
        <v>44870</v>
      </c>
      <c r="D121" s="1">
        <v>46304</v>
      </c>
      <c r="E121" t="s">
        <v>12</v>
      </c>
      <c r="F121" s="11">
        <f ca="1">IF(HR[[#This Row],[ Employee Status]]="exited",HR[[#This Row],[ExitDate]]-HR[[#This Row],[HireDate]],TODAY()-HR[[#This Row],[HireDate]])/365</f>
        <v>3.9287671232876713</v>
      </c>
      <c r="G121" s="4">
        <f>IF(HR[[#This Row],[ Employee Status]]="still working","",YEAR(HR[[#This Row],[ExitDate]]))</f>
        <v>2026</v>
      </c>
      <c r="H121" s="6">
        <v>8031</v>
      </c>
      <c r="I121" s="10">
        <v>4.2300000000000004</v>
      </c>
      <c r="J121" s="10">
        <v>1.82</v>
      </c>
      <c r="K121" s="4">
        <v>24</v>
      </c>
    </row>
    <row r="122" spans="1:11" x14ac:dyDescent="0.3">
      <c r="A122" s="4">
        <v>121</v>
      </c>
      <c r="B122" t="s">
        <v>13</v>
      </c>
      <c r="C122" s="1">
        <v>44636</v>
      </c>
      <c r="D122" s="1"/>
      <c r="E122" t="s">
        <v>8</v>
      </c>
      <c r="F122" s="11">
        <f ca="1">IF(HR[[#This Row],[ Employee Status]]="exited",HR[[#This Row],[ExitDate]]-HR[[#This Row],[HireDate]],TODAY()-HR[[#This Row],[HireDate]])/365</f>
        <v>4.3123287671232875</v>
      </c>
      <c r="G122" s="4" t="str">
        <f>IF(HR[[#This Row],[ Employee Status]]="still working","",YEAR(HR[[#This Row],[ExitDate]]))</f>
        <v/>
      </c>
      <c r="H122" s="6">
        <v>10970</v>
      </c>
      <c r="I122" s="10">
        <v>4.76</v>
      </c>
      <c r="J122" s="10">
        <v>2.39</v>
      </c>
      <c r="K122" s="4">
        <v>17</v>
      </c>
    </row>
    <row r="123" spans="1:11" x14ac:dyDescent="0.3">
      <c r="A123" s="4">
        <v>122</v>
      </c>
      <c r="B123" t="s">
        <v>14</v>
      </c>
      <c r="C123" s="1">
        <v>44260</v>
      </c>
      <c r="D123" s="1"/>
      <c r="E123" t="s">
        <v>8</v>
      </c>
      <c r="F123" s="11">
        <f ca="1">IF(HR[[#This Row],[ Employee Status]]="exited",HR[[#This Row],[ExitDate]]-HR[[#This Row],[HireDate]],TODAY()-HR[[#This Row],[HireDate]])/365</f>
        <v>5.3424657534246576</v>
      </c>
      <c r="G123" s="4" t="str">
        <f>IF(HR[[#This Row],[ Employee Status]]="still working","",YEAR(HR[[#This Row],[ExitDate]]))</f>
        <v/>
      </c>
      <c r="H123" s="6">
        <v>6600</v>
      </c>
      <c r="I123" s="10">
        <v>4.74</v>
      </c>
      <c r="J123" s="10">
        <v>1.99</v>
      </c>
      <c r="K123" s="4">
        <v>24</v>
      </c>
    </row>
    <row r="124" spans="1:11" x14ac:dyDescent="0.3">
      <c r="A124" s="4">
        <v>123</v>
      </c>
      <c r="B124" t="s">
        <v>11</v>
      </c>
      <c r="C124" s="1">
        <v>44359</v>
      </c>
      <c r="D124" s="1"/>
      <c r="E124" t="s">
        <v>8</v>
      </c>
      <c r="F124" s="11">
        <f ca="1">IF(HR[[#This Row],[ Employee Status]]="exited",HR[[#This Row],[ExitDate]]-HR[[#This Row],[HireDate]],TODAY()-HR[[#This Row],[HireDate]])/365</f>
        <v>5.0712328767123287</v>
      </c>
      <c r="G124" s="4" t="str">
        <f>IF(HR[[#This Row],[ Employee Status]]="still working","",YEAR(HR[[#This Row],[ExitDate]]))</f>
        <v/>
      </c>
      <c r="H124" s="6">
        <v>6572</v>
      </c>
      <c r="I124" s="10">
        <v>3.74</v>
      </c>
      <c r="J124" s="10">
        <v>3.53</v>
      </c>
      <c r="K124" s="4">
        <v>27</v>
      </c>
    </row>
    <row r="125" spans="1:11" x14ac:dyDescent="0.3">
      <c r="A125" s="4">
        <v>124</v>
      </c>
      <c r="B125" t="s">
        <v>13</v>
      </c>
      <c r="C125" s="1">
        <v>44870</v>
      </c>
      <c r="D125" s="1"/>
      <c r="E125" t="s">
        <v>8</v>
      </c>
      <c r="F125" s="11">
        <f ca="1">IF(HR[[#This Row],[ Employee Status]]="exited",HR[[#This Row],[ExitDate]]-HR[[#This Row],[HireDate]],TODAY()-HR[[#This Row],[HireDate]])/365</f>
        <v>3.6712328767123288</v>
      </c>
      <c r="G125" s="4" t="str">
        <f>IF(HR[[#This Row],[ Employee Status]]="still working","",YEAR(HR[[#This Row],[ExitDate]]))</f>
        <v/>
      </c>
      <c r="H125" s="6">
        <v>3966</v>
      </c>
      <c r="I125" s="10">
        <v>3.67</v>
      </c>
      <c r="J125" s="10">
        <v>4.4400000000000004</v>
      </c>
      <c r="K125" s="4">
        <v>28</v>
      </c>
    </row>
    <row r="126" spans="1:11" x14ac:dyDescent="0.3">
      <c r="A126" s="4">
        <v>125</v>
      </c>
      <c r="B126" t="s">
        <v>13</v>
      </c>
      <c r="C126" s="1">
        <v>43750</v>
      </c>
      <c r="D126" s="1"/>
      <c r="E126" t="s">
        <v>8</v>
      </c>
      <c r="F126" s="11">
        <f ca="1">IF(HR[[#This Row],[ Employee Status]]="exited",HR[[#This Row],[ExitDate]]-HR[[#This Row],[HireDate]],TODAY()-HR[[#This Row],[HireDate]])/365</f>
        <v>6.7397260273972606</v>
      </c>
      <c r="G126" s="4" t="str">
        <f>IF(HR[[#This Row],[ Employee Status]]="still working","",YEAR(HR[[#This Row],[ExitDate]]))</f>
        <v/>
      </c>
      <c r="H126" s="6">
        <v>4759</v>
      </c>
      <c r="I126" s="10">
        <v>2.63</v>
      </c>
      <c r="J126" s="10">
        <v>4.59</v>
      </c>
      <c r="K126" s="4">
        <v>29</v>
      </c>
    </row>
    <row r="127" spans="1:11" x14ac:dyDescent="0.3">
      <c r="A127" s="4">
        <v>126</v>
      </c>
      <c r="B127" t="s">
        <v>7</v>
      </c>
      <c r="C127" s="1">
        <v>45648</v>
      </c>
      <c r="D127" s="1"/>
      <c r="E127" t="s">
        <v>8</v>
      </c>
      <c r="F127" s="11">
        <f ca="1">IF(HR[[#This Row],[ Employee Status]]="exited",HR[[#This Row],[ExitDate]]-HR[[#This Row],[HireDate]],TODAY()-HR[[#This Row],[HireDate]])/365</f>
        <v>1.5397260273972602</v>
      </c>
      <c r="G127" s="4" t="str">
        <f>IF(HR[[#This Row],[ Employee Status]]="still working","",YEAR(HR[[#This Row],[ExitDate]]))</f>
        <v/>
      </c>
      <c r="H127" s="6">
        <v>12692</v>
      </c>
      <c r="I127" s="10">
        <v>2.2000000000000002</v>
      </c>
      <c r="J127" s="10">
        <v>4.0999999999999996</v>
      </c>
      <c r="K127" s="4">
        <v>14</v>
      </c>
    </row>
    <row r="128" spans="1:11" x14ac:dyDescent="0.3">
      <c r="A128" s="4">
        <v>127</v>
      </c>
      <c r="B128" t="s">
        <v>11</v>
      </c>
      <c r="C128" s="1">
        <v>44763</v>
      </c>
      <c r="D128" s="1"/>
      <c r="E128" t="s">
        <v>8</v>
      </c>
      <c r="F128" s="11">
        <f ca="1">IF(HR[[#This Row],[ Employee Status]]="exited",HR[[#This Row],[ExitDate]]-HR[[#This Row],[HireDate]],TODAY()-HR[[#This Row],[HireDate]])/365</f>
        <v>3.9643835616438357</v>
      </c>
      <c r="G128" s="4" t="str">
        <f>IF(HR[[#This Row],[ Employee Status]]="still working","",YEAR(HR[[#This Row],[ExitDate]]))</f>
        <v/>
      </c>
      <c r="H128" s="6">
        <v>8083</v>
      </c>
      <c r="I128" s="10">
        <v>4.3</v>
      </c>
      <c r="J128" s="10">
        <v>1.41</v>
      </c>
      <c r="K128" s="4">
        <v>7</v>
      </c>
    </row>
    <row r="129" spans="1:11" x14ac:dyDescent="0.3">
      <c r="A129" s="4">
        <v>128</v>
      </c>
      <c r="B129" t="s">
        <v>14</v>
      </c>
      <c r="C129" s="1">
        <v>45491</v>
      </c>
      <c r="D129" s="1">
        <v>46082</v>
      </c>
      <c r="E129" t="s">
        <v>12</v>
      </c>
      <c r="F129" s="11">
        <f ca="1">IF(HR[[#This Row],[ Employee Status]]="exited",HR[[#This Row],[ExitDate]]-HR[[#This Row],[HireDate]],TODAY()-HR[[#This Row],[HireDate]])/365</f>
        <v>1.6191780821917807</v>
      </c>
      <c r="G129" s="4">
        <f>IF(HR[[#This Row],[ Employee Status]]="still working","",YEAR(HR[[#This Row],[ExitDate]]))</f>
        <v>2026</v>
      </c>
      <c r="H129" s="6">
        <v>7873</v>
      </c>
      <c r="I129" s="10">
        <v>3.23</v>
      </c>
      <c r="J129" s="10">
        <v>1.1000000000000001</v>
      </c>
      <c r="K129" s="4">
        <v>27</v>
      </c>
    </row>
    <row r="130" spans="1:11" x14ac:dyDescent="0.3">
      <c r="A130" s="4">
        <v>129</v>
      </c>
      <c r="B130" t="s">
        <v>7</v>
      </c>
      <c r="C130" s="1">
        <v>45424</v>
      </c>
      <c r="D130" s="1">
        <v>46197</v>
      </c>
      <c r="E130" t="s">
        <v>12</v>
      </c>
      <c r="F130" s="11">
        <f ca="1">IF(HR[[#This Row],[ Employee Status]]="exited",HR[[#This Row],[ExitDate]]-HR[[#This Row],[HireDate]],TODAY()-HR[[#This Row],[HireDate]])/365</f>
        <v>2.117808219178082</v>
      </c>
      <c r="G130" s="4">
        <f>IF(HR[[#This Row],[ Employee Status]]="still working","",YEAR(HR[[#This Row],[ExitDate]]))</f>
        <v>2026</v>
      </c>
      <c r="H130" s="6">
        <v>8960</v>
      </c>
      <c r="I130" s="10">
        <v>2.69</v>
      </c>
      <c r="J130" s="10">
        <v>3.69</v>
      </c>
      <c r="K130" s="4">
        <v>28</v>
      </c>
    </row>
    <row r="131" spans="1:11" x14ac:dyDescent="0.3">
      <c r="A131" s="4">
        <v>130</v>
      </c>
      <c r="B131" t="s">
        <v>13</v>
      </c>
      <c r="C131" s="1">
        <v>44570</v>
      </c>
      <c r="D131" s="1"/>
      <c r="E131" t="s">
        <v>8</v>
      </c>
      <c r="F131" s="11">
        <f ca="1">IF(HR[[#This Row],[ Employee Status]]="exited",HR[[#This Row],[ExitDate]]-HR[[#This Row],[HireDate]],TODAY()-HR[[#This Row],[HireDate]])/365</f>
        <v>4.493150684931507</v>
      </c>
      <c r="G131" s="4" t="str">
        <f>IF(HR[[#This Row],[ Employee Status]]="still working","",YEAR(HR[[#This Row],[ExitDate]]))</f>
        <v/>
      </c>
      <c r="H131" s="6">
        <v>6310</v>
      </c>
      <c r="I131" s="10">
        <v>3.67</v>
      </c>
      <c r="J131" s="10">
        <v>3.88</v>
      </c>
      <c r="K131" s="4">
        <v>2</v>
      </c>
    </row>
    <row r="132" spans="1:11" x14ac:dyDescent="0.3">
      <c r="A132" s="4">
        <v>131</v>
      </c>
      <c r="B132" t="s">
        <v>11</v>
      </c>
      <c r="C132" s="1">
        <v>44239</v>
      </c>
      <c r="D132" s="1"/>
      <c r="E132" t="s">
        <v>8</v>
      </c>
      <c r="F132" s="11">
        <f ca="1">IF(HR[[#This Row],[ Employee Status]]="exited",HR[[#This Row],[ExitDate]]-HR[[#This Row],[HireDate]],TODAY()-HR[[#This Row],[HireDate]])/365</f>
        <v>5.4</v>
      </c>
      <c r="G132" s="4" t="str">
        <f>IF(HR[[#This Row],[ Employee Status]]="still working","",YEAR(HR[[#This Row],[ExitDate]]))</f>
        <v/>
      </c>
      <c r="H132" s="6">
        <v>12503</v>
      </c>
      <c r="I132" s="10">
        <v>3.19</v>
      </c>
      <c r="J132" s="10">
        <v>3.67</v>
      </c>
      <c r="K132" s="4">
        <v>20</v>
      </c>
    </row>
    <row r="133" spans="1:11" x14ac:dyDescent="0.3">
      <c r="A133" s="4">
        <v>132</v>
      </c>
      <c r="B133" t="s">
        <v>10</v>
      </c>
      <c r="C133" s="1">
        <v>44680</v>
      </c>
      <c r="D133" s="1"/>
      <c r="E133" t="s">
        <v>8</v>
      </c>
      <c r="F133" s="11">
        <f ca="1">IF(HR[[#This Row],[ Employee Status]]="exited",HR[[#This Row],[ExitDate]]-HR[[#This Row],[HireDate]],TODAY()-HR[[#This Row],[HireDate]])/365</f>
        <v>4.1917808219178081</v>
      </c>
      <c r="G133" s="4" t="str">
        <f>IF(HR[[#This Row],[ Employee Status]]="still working","",YEAR(HR[[#This Row],[ExitDate]]))</f>
        <v/>
      </c>
      <c r="H133" s="6">
        <v>9150</v>
      </c>
      <c r="I133" s="10">
        <v>4.54</v>
      </c>
      <c r="J133" s="10">
        <v>1.49</v>
      </c>
      <c r="K133" s="4">
        <v>18</v>
      </c>
    </row>
    <row r="134" spans="1:11" x14ac:dyDescent="0.3">
      <c r="A134" s="4">
        <v>133</v>
      </c>
      <c r="B134" t="s">
        <v>9</v>
      </c>
      <c r="C134" s="1">
        <v>44069</v>
      </c>
      <c r="D134" s="1"/>
      <c r="E134" t="s">
        <v>8</v>
      </c>
      <c r="F134" s="11">
        <f ca="1">IF(HR[[#This Row],[ Employee Status]]="exited",HR[[#This Row],[ExitDate]]-HR[[#This Row],[HireDate]],TODAY()-HR[[#This Row],[HireDate]])/365</f>
        <v>5.8657534246575347</v>
      </c>
      <c r="G134" s="4" t="str">
        <f>IF(HR[[#This Row],[ Employee Status]]="still working","",YEAR(HR[[#This Row],[ExitDate]]))</f>
        <v/>
      </c>
      <c r="H134" s="6">
        <v>7177</v>
      </c>
      <c r="I134" s="10">
        <v>3.03</v>
      </c>
      <c r="J134" s="10">
        <v>2.04</v>
      </c>
      <c r="K134" s="4">
        <v>1</v>
      </c>
    </row>
    <row r="135" spans="1:11" x14ac:dyDescent="0.3">
      <c r="A135" s="4">
        <v>134</v>
      </c>
      <c r="B135" t="s">
        <v>9</v>
      </c>
      <c r="C135" s="1">
        <v>43995</v>
      </c>
      <c r="D135" s="1"/>
      <c r="E135" t="s">
        <v>8</v>
      </c>
      <c r="F135" s="11">
        <f ca="1">IF(HR[[#This Row],[ Employee Status]]="exited",HR[[#This Row],[ExitDate]]-HR[[#This Row],[HireDate]],TODAY()-HR[[#This Row],[HireDate]])/365</f>
        <v>6.0684931506849313</v>
      </c>
      <c r="G135" s="4" t="str">
        <f>IF(HR[[#This Row],[ Employee Status]]="still working","",YEAR(HR[[#This Row],[ExitDate]]))</f>
        <v/>
      </c>
      <c r="H135" s="6">
        <v>4555</v>
      </c>
      <c r="I135" s="10">
        <v>3.66</v>
      </c>
      <c r="J135" s="10">
        <v>2.74</v>
      </c>
      <c r="K135" s="4">
        <v>11</v>
      </c>
    </row>
    <row r="136" spans="1:11" x14ac:dyDescent="0.3">
      <c r="A136" s="4">
        <v>135</v>
      </c>
      <c r="B136" t="s">
        <v>10</v>
      </c>
      <c r="C136" s="1">
        <v>43542</v>
      </c>
      <c r="D136" s="1"/>
      <c r="E136" t="s">
        <v>8</v>
      </c>
      <c r="F136" s="11">
        <f ca="1">IF(HR[[#This Row],[ Employee Status]]="exited",HR[[#This Row],[ExitDate]]-HR[[#This Row],[HireDate]],TODAY()-HR[[#This Row],[HireDate]])/365</f>
        <v>7.3095890410958901</v>
      </c>
      <c r="G136" s="4" t="str">
        <f>IF(HR[[#This Row],[ Employee Status]]="still working","",YEAR(HR[[#This Row],[ExitDate]]))</f>
        <v/>
      </c>
      <c r="H136" s="6">
        <v>14093</v>
      </c>
      <c r="I136" s="10">
        <v>3.7</v>
      </c>
      <c r="J136" s="10">
        <v>4.9400000000000004</v>
      </c>
      <c r="K136" s="4">
        <v>22</v>
      </c>
    </row>
    <row r="137" spans="1:11" x14ac:dyDescent="0.3">
      <c r="A137" s="4">
        <v>136</v>
      </c>
      <c r="B137" t="s">
        <v>13</v>
      </c>
      <c r="C137" s="1">
        <v>44150</v>
      </c>
      <c r="D137" s="1">
        <v>44187</v>
      </c>
      <c r="E137" t="s">
        <v>12</v>
      </c>
      <c r="F137" s="11">
        <f ca="1">IF(HR[[#This Row],[ Employee Status]]="exited",HR[[#This Row],[ExitDate]]-HR[[#This Row],[HireDate]],TODAY()-HR[[#This Row],[HireDate]])/365</f>
        <v>0.10136986301369863</v>
      </c>
      <c r="G137" s="4">
        <f>IF(HR[[#This Row],[ Employee Status]]="still working","",YEAR(HR[[#This Row],[ExitDate]]))</f>
        <v>2020</v>
      </c>
      <c r="H137" s="6">
        <v>6186</v>
      </c>
      <c r="I137" s="10">
        <v>4.0999999999999996</v>
      </c>
      <c r="J137" s="10">
        <v>2.61</v>
      </c>
      <c r="K137" s="4">
        <v>8</v>
      </c>
    </row>
    <row r="138" spans="1:11" x14ac:dyDescent="0.3">
      <c r="A138" s="4">
        <v>137</v>
      </c>
      <c r="B138" t="s">
        <v>14</v>
      </c>
      <c r="C138" s="1">
        <v>44148</v>
      </c>
      <c r="D138" s="1"/>
      <c r="E138" t="s">
        <v>8</v>
      </c>
      <c r="F138" s="11">
        <f ca="1">IF(HR[[#This Row],[ Employee Status]]="exited",HR[[#This Row],[ExitDate]]-HR[[#This Row],[HireDate]],TODAY()-HR[[#This Row],[HireDate]])/365</f>
        <v>5.6493150684931503</v>
      </c>
      <c r="G138" s="4" t="str">
        <f>IF(HR[[#This Row],[ Employee Status]]="still working","",YEAR(HR[[#This Row],[ExitDate]]))</f>
        <v/>
      </c>
      <c r="H138" s="6">
        <v>5541</v>
      </c>
      <c r="I138" s="10">
        <v>2.52</v>
      </c>
      <c r="J138" s="10">
        <v>2.09</v>
      </c>
      <c r="K138" s="4">
        <v>10</v>
      </c>
    </row>
    <row r="139" spans="1:11" x14ac:dyDescent="0.3">
      <c r="A139" s="4">
        <v>138</v>
      </c>
      <c r="B139" t="s">
        <v>7</v>
      </c>
      <c r="C139" s="1">
        <v>44449</v>
      </c>
      <c r="D139" s="1">
        <v>44861</v>
      </c>
      <c r="E139" t="s">
        <v>12</v>
      </c>
      <c r="F139" s="11">
        <f ca="1">IF(HR[[#This Row],[ Employee Status]]="exited",HR[[#This Row],[ExitDate]]-HR[[#This Row],[HireDate]],TODAY()-HR[[#This Row],[HireDate]])/365</f>
        <v>1.1287671232876713</v>
      </c>
      <c r="G139" s="4">
        <f>IF(HR[[#This Row],[ Employee Status]]="still working","",YEAR(HR[[#This Row],[ExitDate]]))</f>
        <v>2022</v>
      </c>
      <c r="H139" s="6">
        <v>13281</v>
      </c>
      <c r="I139" s="10">
        <v>3.66</v>
      </c>
      <c r="J139" s="10">
        <v>3.61</v>
      </c>
      <c r="K139" s="4">
        <v>25</v>
      </c>
    </row>
    <row r="140" spans="1:11" x14ac:dyDescent="0.3">
      <c r="A140" s="4">
        <v>139</v>
      </c>
      <c r="B140" t="s">
        <v>7</v>
      </c>
      <c r="C140" s="1">
        <v>45448</v>
      </c>
      <c r="D140" s="1"/>
      <c r="E140" t="s">
        <v>8</v>
      </c>
      <c r="F140" s="11">
        <f ca="1">IF(HR[[#This Row],[ Employee Status]]="exited",HR[[#This Row],[ExitDate]]-HR[[#This Row],[HireDate]],TODAY()-HR[[#This Row],[HireDate]])/365</f>
        <v>2.0876712328767124</v>
      </c>
      <c r="G140" s="4" t="str">
        <f>IF(HR[[#This Row],[ Employee Status]]="still working","",YEAR(HR[[#This Row],[ExitDate]]))</f>
        <v/>
      </c>
      <c r="H140" s="6">
        <v>11041</v>
      </c>
      <c r="I140" s="10">
        <v>2.8</v>
      </c>
      <c r="J140" s="10">
        <v>3.93</v>
      </c>
      <c r="K140" s="4">
        <v>1</v>
      </c>
    </row>
    <row r="141" spans="1:11" x14ac:dyDescent="0.3">
      <c r="A141" s="4">
        <v>140</v>
      </c>
      <c r="B141" t="s">
        <v>13</v>
      </c>
      <c r="C141" s="1">
        <v>44012</v>
      </c>
      <c r="D141" s="1"/>
      <c r="E141" t="s">
        <v>8</v>
      </c>
      <c r="F141" s="11">
        <f ca="1">IF(HR[[#This Row],[ Employee Status]]="exited",HR[[#This Row],[ExitDate]]-HR[[#This Row],[HireDate]],TODAY()-HR[[#This Row],[HireDate]])/365</f>
        <v>6.021917808219178</v>
      </c>
      <c r="G141" s="4" t="str">
        <f>IF(HR[[#This Row],[ Employee Status]]="still working","",YEAR(HR[[#This Row],[ExitDate]]))</f>
        <v/>
      </c>
      <c r="H141" s="6">
        <v>11646</v>
      </c>
      <c r="I141" s="10">
        <v>3.21</v>
      </c>
      <c r="J141" s="10">
        <v>4.08</v>
      </c>
      <c r="K141" s="4">
        <v>13</v>
      </c>
    </row>
    <row r="142" spans="1:11" x14ac:dyDescent="0.3">
      <c r="A142" s="4">
        <v>141</v>
      </c>
      <c r="B142" t="s">
        <v>9</v>
      </c>
      <c r="C142" s="1">
        <v>45077</v>
      </c>
      <c r="D142" s="1"/>
      <c r="E142" t="s">
        <v>8</v>
      </c>
      <c r="F142" s="11">
        <f ca="1">IF(HR[[#This Row],[ Employee Status]]="exited",HR[[#This Row],[ExitDate]]-HR[[#This Row],[HireDate]],TODAY()-HR[[#This Row],[HireDate]])/365</f>
        <v>3.1041095890410957</v>
      </c>
      <c r="G142" s="4" t="str">
        <f>IF(HR[[#This Row],[ Employee Status]]="still working","",YEAR(HR[[#This Row],[ExitDate]]))</f>
        <v/>
      </c>
      <c r="H142" s="6">
        <v>8941</v>
      </c>
      <c r="I142" s="10">
        <v>3.81</v>
      </c>
      <c r="J142" s="10">
        <v>1.98</v>
      </c>
      <c r="K142" s="4">
        <v>20</v>
      </c>
    </row>
    <row r="143" spans="1:11" x14ac:dyDescent="0.3">
      <c r="A143" s="4">
        <v>142</v>
      </c>
      <c r="B143" t="s">
        <v>14</v>
      </c>
      <c r="C143" s="1">
        <v>43221</v>
      </c>
      <c r="D143" s="1">
        <v>44635</v>
      </c>
      <c r="E143" t="s">
        <v>12</v>
      </c>
      <c r="F143" s="11">
        <f ca="1">IF(HR[[#This Row],[ Employee Status]]="exited",HR[[#This Row],[ExitDate]]-HR[[#This Row],[HireDate]],TODAY()-HR[[#This Row],[HireDate]])/365</f>
        <v>3.8739726027397259</v>
      </c>
      <c r="G143" s="4">
        <f>IF(HR[[#This Row],[ Employee Status]]="still working","",YEAR(HR[[#This Row],[ExitDate]]))</f>
        <v>2022</v>
      </c>
      <c r="H143" s="6">
        <v>10679</v>
      </c>
      <c r="I143" s="10">
        <v>3.83</v>
      </c>
      <c r="J143" s="10">
        <v>4.8</v>
      </c>
      <c r="K143" s="4">
        <v>22</v>
      </c>
    </row>
    <row r="144" spans="1:11" x14ac:dyDescent="0.3">
      <c r="A144" s="4">
        <v>143</v>
      </c>
      <c r="B144" t="s">
        <v>11</v>
      </c>
      <c r="C144" s="1">
        <v>45614</v>
      </c>
      <c r="D144" s="1"/>
      <c r="E144" t="s">
        <v>8</v>
      </c>
      <c r="F144" s="11">
        <f ca="1">IF(HR[[#This Row],[ Employee Status]]="exited",HR[[#This Row],[ExitDate]]-HR[[#This Row],[HireDate]],TODAY()-HR[[#This Row],[HireDate]])/365</f>
        <v>1.6328767123287671</v>
      </c>
      <c r="G144" s="4" t="str">
        <f>IF(HR[[#This Row],[ Employee Status]]="still working","",YEAR(HR[[#This Row],[ExitDate]]))</f>
        <v/>
      </c>
      <c r="H144" s="6">
        <v>9212</v>
      </c>
      <c r="I144" s="10">
        <v>3.62</v>
      </c>
      <c r="J144" s="10">
        <v>1.65</v>
      </c>
      <c r="K144" s="4">
        <v>19</v>
      </c>
    </row>
    <row r="145" spans="1:11" x14ac:dyDescent="0.3">
      <c r="A145" s="4">
        <v>144</v>
      </c>
      <c r="B145" t="s">
        <v>11</v>
      </c>
      <c r="C145" s="1">
        <v>43205</v>
      </c>
      <c r="D145" s="1"/>
      <c r="E145" t="s">
        <v>8</v>
      </c>
      <c r="F145" s="11">
        <f ca="1">IF(HR[[#This Row],[ Employee Status]]="exited",HR[[#This Row],[ExitDate]]-HR[[#This Row],[HireDate]],TODAY()-HR[[#This Row],[HireDate]])/365</f>
        <v>8.2328767123287676</v>
      </c>
      <c r="G145" s="4" t="str">
        <f>IF(HR[[#This Row],[ Employee Status]]="still working","",YEAR(HR[[#This Row],[ExitDate]]))</f>
        <v/>
      </c>
      <c r="H145" s="6">
        <v>10674</v>
      </c>
      <c r="I145" s="10">
        <v>4.3099999999999996</v>
      </c>
      <c r="J145" s="10">
        <v>1.43</v>
      </c>
      <c r="K145" s="4">
        <v>8</v>
      </c>
    </row>
    <row r="146" spans="1:11" x14ac:dyDescent="0.3">
      <c r="A146" s="4">
        <v>145</v>
      </c>
      <c r="B146" t="s">
        <v>13</v>
      </c>
      <c r="C146" s="1">
        <v>45460</v>
      </c>
      <c r="D146" s="1"/>
      <c r="E146" t="s">
        <v>8</v>
      </c>
      <c r="F146" s="11">
        <f ca="1">IF(HR[[#This Row],[ Employee Status]]="exited",HR[[#This Row],[ExitDate]]-HR[[#This Row],[HireDate]],TODAY()-HR[[#This Row],[HireDate]])/365</f>
        <v>2.0547945205479454</v>
      </c>
      <c r="G146" s="4" t="str">
        <f>IF(HR[[#This Row],[ Employee Status]]="still working","",YEAR(HR[[#This Row],[ExitDate]]))</f>
        <v/>
      </c>
      <c r="H146" s="6">
        <v>4240</v>
      </c>
      <c r="I146" s="10">
        <v>3.38</v>
      </c>
      <c r="J146" s="10">
        <v>1.3</v>
      </c>
      <c r="K146" s="4">
        <v>17</v>
      </c>
    </row>
    <row r="147" spans="1:11" x14ac:dyDescent="0.3">
      <c r="A147" s="4">
        <v>146</v>
      </c>
      <c r="B147" t="s">
        <v>9</v>
      </c>
      <c r="C147" s="1">
        <v>44920</v>
      </c>
      <c r="D147" s="1">
        <v>45380</v>
      </c>
      <c r="E147" t="s">
        <v>12</v>
      </c>
      <c r="F147" s="11">
        <f ca="1">IF(HR[[#This Row],[ Employee Status]]="exited",HR[[#This Row],[ExitDate]]-HR[[#This Row],[HireDate]],TODAY()-HR[[#This Row],[HireDate]])/365</f>
        <v>1.2602739726027397</v>
      </c>
      <c r="G147" s="4">
        <f>IF(HR[[#This Row],[ Employee Status]]="still working","",YEAR(HR[[#This Row],[ExitDate]]))</f>
        <v>2024</v>
      </c>
      <c r="H147" s="6">
        <v>12650</v>
      </c>
      <c r="I147" s="10">
        <v>3.08</v>
      </c>
      <c r="J147" s="10">
        <v>1.37</v>
      </c>
      <c r="K147" s="4">
        <v>26</v>
      </c>
    </row>
    <row r="148" spans="1:11" x14ac:dyDescent="0.3">
      <c r="A148" s="4">
        <v>147</v>
      </c>
      <c r="B148" t="s">
        <v>13</v>
      </c>
      <c r="C148" s="1">
        <v>43285</v>
      </c>
      <c r="D148" s="1">
        <v>44127</v>
      </c>
      <c r="E148" t="s">
        <v>12</v>
      </c>
      <c r="F148" s="11">
        <f ca="1">IF(HR[[#This Row],[ Employee Status]]="exited",HR[[#This Row],[ExitDate]]-HR[[#This Row],[HireDate]],TODAY()-HR[[#This Row],[HireDate]])/365</f>
        <v>2.3068493150684932</v>
      </c>
      <c r="G148" s="4">
        <f>IF(HR[[#This Row],[ Employee Status]]="still working","",YEAR(HR[[#This Row],[ExitDate]]))</f>
        <v>2020</v>
      </c>
      <c r="H148" s="6">
        <v>3329</v>
      </c>
      <c r="I148" s="10">
        <v>2.2599999999999998</v>
      </c>
      <c r="J148" s="10">
        <v>4.83</v>
      </c>
      <c r="K148" s="4">
        <v>18</v>
      </c>
    </row>
    <row r="149" spans="1:11" x14ac:dyDescent="0.3">
      <c r="A149" s="4">
        <v>148</v>
      </c>
      <c r="B149" t="s">
        <v>7</v>
      </c>
      <c r="C149" s="1">
        <v>44994</v>
      </c>
      <c r="D149" s="1"/>
      <c r="E149" t="s">
        <v>8</v>
      </c>
      <c r="F149" s="11">
        <f ca="1">IF(HR[[#This Row],[ Employee Status]]="exited",HR[[#This Row],[ExitDate]]-HR[[#This Row],[HireDate]],TODAY()-HR[[#This Row],[HireDate]])/365</f>
        <v>3.3315068493150686</v>
      </c>
      <c r="G149" s="4" t="str">
        <f>IF(HR[[#This Row],[ Employee Status]]="still working","",YEAR(HR[[#This Row],[ExitDate]]))</f>
        <v/>
      </c>
      <c r="H149" s="6">
        <v>14344</v>
      </c>
      <c r="I149" s="10">
        <v>4.55</v>
      </c>
      <c r="J149" s="10">
        <v>2</v>
      </c>
      <c r="K149" s="4">
        <v>24</v>
      </c>
    </row>
    <row r="150" spans="1:11" x14ac:dyDescent="0.3">
      <c r="A150" s="4">
        <v>149</v>
      </c>
      <c r="B150" t="s">
        <v>14</v>
      </c>
      <c r="C150" s="1">
        <v>45356</v>
      </c>
      <c r="D150" s="1"/>
      <c r="E150" t="s">
        <v>8</v>
      </c>
      <c r="F150" s="11">
        <f ca="1">IF(HR[[#This Row],[ Employee Status]]="exited",HR[[#This Row],[ExitDate]]-HR[[#This Row],[HireDate]],TODAY()-HR[[#This Row],[HireDate]])/365</f>
        <v>2.3397260273972602</v>
      </c>
      <c r="G150" s="4" t="str">
        <f>IF(HR[[#This Row],[ Employee Status]]="still working","",YEAR(HR[[#This Row],[ExitDate]]))</f>
        <v/>
      </c>
      <c r="H150" s="6">
        <v>6993</v>
      </c>
      <c r="I150" s="10">
        <v>2.13</v>
      </c>
      <c r="J150" s="10">
        <v>3.35</v>
      </c>
      <c r="K150" s="4">
        <v>16</v>
      </c>
    </row>
    <row r="151" spans="1:11" x14ac:dyDescent="0.3">
      <c r="A151" s="4">
        <v>150</v>
      </c>
      <c r="B151" t="s">
        <v>7</v>
      </c>
      <c r="C151" s="1">
        <v>44629</v>
      </c>
      <c r="D151" s="1"/>
      <c r="E151" t="s">
        <v>8</v>
      </c>
      <c r="F151" s="11">
        <f ca="1">IF(HR[[#This Row],[ Employee Status]]="exited",HR[[#This Row],[ExitDate]]-HR[[#This Row],[HireDate]],TODAY()-HR[[#This Row],[HireDate]])/365</f>
        <v>4.3315068493150681</v>
      </c>
      <c r="G151" s="4" t="str">
        <f>IF(HR[[#This Row],[ Employee Status]]="still working","",YEAR(HR[[#This Row],[ExitDate]]))</f>
        <v/>
      </c>
      <c r="H151" s="6">
        <v>6157</v>
      </c>
      <c r="I151" s="10">
        <v>4.09</v>
      </c>
      <c r="J151" s="10">
        <v>2.19</v>
      </c>
      <c r="K151" s="4">
        <v>15</v>
      </c>
    </row>
    <row r="152" spans="1:11" x14ac:dyDescent="0.3">
      <c r="A152" s="4">
        <v>151</v>
      </c>
      <c r="B152" t="s">
        <v>14</v>
      </c>
      <c r="C152" s="1">
        <v>44817</v>
      </c>
      <c r="D152" s="1"/>
      <c r="E152" t="s">
        <v>8</v>
      </c>
      <c r="F152" s="11">
        <f ca="1">IF(HR[[#This Row],[ Employee Status]]="exited",HR[[#This Row],[ExitDate]]-HR[[#This Row],[HireDate]],TODAY()-HR[[#This Row],[HireDate]])/365</f>
        <v>3.8164383561643835</v>
      </c>
      <c r="G152" s="4" t="str">
        <f>IF(HR[[#This Row],[ Employee Status]]="still working","",YEAR(HR[[#This Row],[ExitDate]]))</f>
        <v/>
      </c>
      <c r="H152" s="6">
        <v>4500</v>
      </c>
      <c r="I152" s="10">
        <v>4.53</v>
      </c>
      <c r="J152" s="10">
        <v>2.2799999999999998</v>
      </c>
      <c r="K152" s="4">
        <v>9</v>
      </c>
    </row>
    <row r="153" spans="1:11" x14ac:dyDescent="0.3">
      <c r="A153" s="4">
        <v>152</v>
      </c>
      <c r="B153" t="s">
        <v>11</v>
      </c>
      <c r="C153" s="1">
        <v>43608</v>
      </c>
      <c r="D153" s="1"/>
      <c r="E153" t="s">
        <v>8</v>
      </c>
      <c r="F153" s="11">
        <f ca="1">IF(HR[[#This Row],[ Employee Status]]="exited",HR[[#This Row],[ExitDate]]-HR[[#This Row],[HireDate]],TODAY()-HR[[#This Row],[HireDate]])/365</f>
        <v>7.1287671232876715</v>
      </c>
      <c r="G153" s="4" t="str">
        <f>IF(HR[[#This Row],[ Employee Status]]="still working","",YEAR(HR[[#This Row],[ExitDate]]))</f>
        <v/>
      </c>
      <c r="H153" s="6">
        <v>12374</v>
      </c>
      <c r="I153" s="10">
        <v>3.44</v>
      </c>
      <c r="J153" s="10">
        <v>4.54</v>
      </c>
      <c r="K153" s="4">
        <v>10</v>
      </c>
    </row>
    <row r="154" spans="1:11" x14ac:dyDescent="0.3">
      <c r="A154" s="4">
        <v>153</v>
      </c>
      <c r="B154" t="s">
        <v>9</v>
      </c>
      <c r="C154" s="1">
        <v>44458</v>
      </c>
      <c r="D154" s="1"/>
      <c r="E154" t="s">
        <v>8</v>
      </c>
      <c r="F154" s="11">
        <f ca="1">IF(HR[[#This Row],[ Employee Status]]="exited",HR[[#This Row],[ExitDate]]-HR[[#This Row],[HireDate]],TODAY()-HR[[#This Row],[HireDate]])/365</f>
        <v>4.8</v>
      </c>
      <c r="G154" s="4" t="str">
        <f>IF(HR[[#This Row],[ Employee Status]]="still working","",YEAR(HR[[#This Row],[ExitDate]]))</f>
        <v/>
      </c>
      <c r="H154" s="6">
        <v>11230</v>
      </c>
      <c r="I154" s="10">
        <v>4.37</v>
      </c>
      <c r="J154" s="10">
        <v>2.2799999999999998</v>
      </c>
      <c r="K154" s="4">
        <v>17</v>
      </c>
    </row>
    <row r="155" spans="1:11" x14ac:dyDescent="0.3">
      <c r="A155" s="4">
        <v>154</v>
      </c>
      <c r="B155" t="s">
        <v>7</v>
      </c>
      <c r="C155" s="1">
        <v>44987</v>
      </c>
      <c r="D155" s="1"/>
      <c r="E155" t="s">
        <v>8</v>
      </c>
      <c r="F155" s="11">
        <f ca="1">IF(HR[[#This Row],[ Employee Status]]="exited",HR[[#This Row],[ExitDate]]-HR[[#This Row],[HireDate]],TODAY()-HR[[#This Row],[HireDate]])/365</f>
        <v>3.3506849315068492</v>
      </c>
      <c r="G155" s="4" t="str">
        <f>IF(HR[[#This Row],[ Employee Status]]="still working","",YEAR(HR[[#This Row],[ExitDate]]))</f>
        <v/>
      </c>
      <c r="H155" s="6">
        <v>12323</v>
      </c>
      <c r="I155" s="10">
        <v>4.6100000000000003</v>
      </c>
      <c r="J155" s="10">
        <v>1.0900000000000001</v>
      </c>
      <c r="K155" s="4">
        <v>22</v>
      </c>
    </row>
    <row r="156" spans="1:11" x14ac:dyDescent="0.3">
      <c r="A156" s="4">
        <v>155</v>
      </c>
      <c r="B156" t="s">
        <v>10</v>
      </c>
      <c r="C156" s="1">
        <v>44527</v>
      </c>
      <c r="D156" s="1"/>
      <c r="E156" t="s">
        <v>8</v>
      </c>
      <c r="F156" s="11">
        <f ca="1">IF(HR[[#This Row],[ Employee Status]]="exited",HR[[#This Row],[ExitDate]]-HR[[#This Row],[HireDate]],TODAY()-HR[[#This Row],[HireDate]])/365</f>
        <v>4.6109589041095891</v>
      </c>
      <c r="G156" s="4" t="str">
        <f>IF(HR[[#This Row],[ Employee Status]]="still working","",YEAR(HR[[#This Row],[ExitDate]]))</f>
        <v/>
      </c>
      <c r="H156" s="6">
        <v>6810</v>
      </c>
      <c r="I156" s="10">
        <v>2.16</v>
      </c>
      <c r="J156" s="10">
        <v>1.35</v>
      </c>
      <c r="K156" s="4">
        <v>29</v>
      </c>
    </row>
    <row r="157" spans="1:11" x14ac:dyDescent="0.3">
      <c r="A157" s="4">
        <v>156</v>
      </c>
      <c r="B157" t="s">
        <v>13</v>
      </c>
      <c r="C157" s="1">
        <v>44285</v>
      </c>
      <c r="D157" s="1"/>
      <c r="E157" t="s">
        <v>8</v>
      </c>
      <c r="F157" s="11">
        <f ca="1">IF(HR[[#This Row],[ Employee Status]]="exited",HR[[#This Row],[ExitDate]]-HR[[#This Row],[HireDate]],TODAY()-HR[[#This Row],[HireDate]])/365</f>
        <v>5.2739726027397262</v>
      </c>
      <c r="G157" s="4" t="str">
        <f>IF(HR[[#This Row],[ Employee Status]]="still working","",YEAR(HR[[#This Row],[ExitDate]]))</f>
        <v/>
      </c>
      <c r="H157" s="6">
        <v>3271</v>
      </c>
      <c r="I157" s="10">
        <v>4.3</v>
      </c>
      <c r="J157" s="10">
        <v>2.67</v>
      </c>
      <c r="K157" s="4">
        <v>6</v>
      </c>
    </row>
    <row r="158" spans="1:11" x14ac:dyDescent="0.3">
      <c r="A158" s="4">
        <v>157</v>
      </c>
      <c r="B158" t="s">
        <v>13</v>
      </c>
      <c r="C158" s="1">
        <v>43345</v>
      </c>
      <c r="D158" s="1"/>
      <c r="E158" t="s">
        <v>8</v>
      </c>
      <c r="F158" s="11">
        <f ca="1">IF(HR[[#This Row],[ Employee Status]]="exited",HR[[#This Row],[ExitDate]]-HR[[#This Row],[HireDate]],TODAY()-HR[[#This Row],[HireDate]])/365</f>
        <v>7.8493150684931505</v>
      </c>
      <c r="G158" s="4" t="str">
        <f>IF(HR[[#This Row],[ Employee Status]]="still working","",YEAR(HR[[#This Row],[ExitDate]]))</f>
        <v/>
      </c>
      <c r="H158" s="6">
        <v>6760</v>
      </c>
      <c r="I158" s="10">
        <v>2.86</v>
      </c>
      <c r="J158" s="10">
        <v>2.19</v>
      </c>
      <c r="K158" s="4">
        <v>29</v>
      </c>
    </row>
    <row r="159" spans="1:11" x14ac:dyDescent="0.3">
      <c r="A159" s="4">
        <v>158</v>
      </c>
      <c r="B159" t="s">
        <v>13</v>
      </c>
      <c r="C159" s="1">
        <v>43474</v>
      </c>
      <c r="D159" s="1"/>
      <c r="E159" t="s">
        <v>8</v>
      </c>
      <c r="F159" s="11">
        <f ca="1">IF(HR[[#This Row],[ Employee Status]]="exited",HR[[#This Row],[ExitDate]]-HR[[#This Row],[HireDate]],TODAY()-HR[[#This Row],[HireDate]])/365</f>
        <v>7.4958904109589044</v>
      </c>
      <c r="G159" s="4" t="str">
        <f>IF(HR[[#This Row],[ Employee Status]]="still working","",YEAR(HR[[#This Row],[ExitDate]]))</f>
        <v/>
      </c>
      <c r="H159" s="6">
        <v>8960</v>
      </c>
      <c r="I159" s="10">
        <v>3.17</v>
      </c>
      <c r="J159" s="10">
        <v>1.5</v>
      </c>
      <c r="K159" s="4">
        <v>26</v>
      </c>
    </row>
    <row r="160" spans="1:11" x14ac:dyDescent="0.3">
      <c r="A160" s="4">
        <v>159</v>
      </c>
      <c r="B160" t="s">
        <v>7</v>
      </c>
      <c r="C160" s="1">
        <v>44796</v>
      </c>
      <c r="D160" s="1">
        <v>45815</v>
      </c>
      <c r="E160" t="s">
        <v>12</v>
      </c>
      <c r="F160" s="11">
        <f ca="1">IF(HR[[#This Row],[ Employee Status]]="exited",HR[[#This Row],[ExitDate]]-HR[[#This Row],[HireDate]],TODAY()-HR[[#This Row],[HireDate]])/365</f>
        <v>2.7917808219178082</v>
      </c>
      <c r="G160" s="4">
        <f>IF(HR[[#This Row],[ Employee Status]]="still working","",YEAR(HR[[#This Row],[ExitDate]]))</f>
        <v>2025</v>
      </c>
      <c r="H160" s="6">
        <v>12130</v>
      </c>
      <c r="I160" s="10">
        <v>4.6500000000000004</v>
      </c>
      <c r="J160" s="10">
        <v>3.4</v>
      </c>
      <c r="K160" s="4">
        <v>29</v>
      </c>
    </row>
    <row r="161" spans="1:11" x14ac:dyDescent="0.3">
      <c r="A161" s="4">
        <v>160</v>
      </c>
      <c r="B161" t="s">
        <v>13</v>
      </c>
      <c r="C161" s="1">
        <v>44772</v>
      </c>
      <c r="D161" s="1"/>
      <c r="E161" t="s">
        <v>8</v>
      </c>
      <c r="F161" s="11">
        <f ca="1">IF(HR[[#This Row],[ Employee Status]]="exited",HR[[#This Row],[ExitDate]]-HR[[#This Row],[HireDate]],TODAY()-HR[[#This Row],[HireDate]])/365</f>
        <v>3.9397260273972603</v>
      </c>
      <c r="G161" s="4" t="str">
        <f>IF(HR[[#This Row],[ Employee Status]]="still working","",YEAR(HR[[#This Row],[ExitDate]]))</f>
        <v/>
      </c>
      <c r="H161" s="6">
        <v>10878</v>
      </c>
      <c r="I161" s="10">
        <v>4.83</v>
      </c>
      <c r="J161" s="10">
        <v>3.6</v>
      </c>
      <c r="K161" s="4">
        <v>20</v>
      </c>
    </row>
    <row r="162" spans="1:11" x14ac:dyDescent="0.3">
      <c r="A162" s="4">
        <v>161</v>
      </c>
      <c r="B162" t="s">
        <v>11</v>
      </c>
      <c r="C162" s="1">
        <v>45201</v>
      </c>
      <c r="D162" s="1">
        <v>46369</v>
      </c>
      <c r="E162" t="s">
        <v>12</v>
      </c>
      <c r="F162" s="11">
        <f ca="1">IF(HR[[#This Row],[ Employee Status]]="exited",HR[[#This Row],[ExitDate]]-HR[[#This Row],[HireDate]],TODAY()-HR[[#This Row],[HireDate]])/365</f>
        <v>3.2</v>
      </c>
      <c r="G162" s="4">
        <f>IF(HR[[#This Row],[ Employee Status]]="still working","",YEAR(HR[[#This Row],[ExitDate]]))</f>
        <v>2026</v>
      </c>
      <c r="H162" s="6">
        <v>8960</v>
      </c>
      <c r="I162" s="10">
        <v>2.11</v>
      </c>
      <c r="J162" s="10">
        <v>4.83</v>
      </c>
      <c r="K162" s="4">
        <v>23</v>
      </c>
    </row>
    <row r="163" spans="1:11" x14ac:dyDescent="0.3">
      <c r="A163" s="4">
        <v>162</v>
      </c>
      <c r="B163" t="s">
        <v>7</v>
      </c>
      <c r="C163" s="1">
        <v>45321</v>
      </c>
      <c r="D163" s="1"/>
      <c r="E163" t="s">
        <v>8</v>
      </c>
      <c r="F163" s="11">
        <f ca="1">IF(HR[[#This Row],[ Employee Status]]="exited",HR[[#This Row],[ExitDate]]-HR[[#This Row],[HireDate]],TODAY()-HR[[#This Row],[HireDate]])/365</f>
        <v>2.4356164383561643</v>
      </c>
      <c r="G163" s="4" t="str">
        <f>IF(HR[[#This Row],[ Employee Status]]="still working","",YEAR(HR[[#This Row],[ExitDate]]))</f>
        <v/>
      </c>
      <c r="H163" s="6">
        <v>11245</v>
      </c>
      <c r="I163" s="10">
        <v>4.78</v>
      </c>
      <c r="J163" s="10">
        <v>4.9800000000000004</v>
      </c>
      <c r="K163" s="4">
        <v>28</v>
      </c>
    </row>
    <row r="164" spans="1:11" x14ac:dyDescent="0.3">
      <c r="A164" s="4">
        <v>163</v>
      </c>
      <c r="B164" t="s">
        <v>14</v>
      </c>
      <c r="C164" s="1">
        <v>44962</v>
      </c>
      <c r="D164" s="1"/>
      <c r="E164" t="s">
        <v>8</v>
      </c>
      <c r="F164" s="11">
        <f ca="1">IF(HR[[#This Row],[ Employee Status]]="exited",HR[[#This Row],[ExitDate]]-HR[[#This Row],[HireDate]],TODAY()-HR[[#This Row],[HireDate]])/365</f>
        <v>3.419178082191781</v>
      </c>
      <c r="G164" s="4" t="str">
        <f>IF(HR[[#This Row],[ Employee Status]]="still working","",YEAR(HR[[#This Row],[ExitDate]]))</f>
        <v/>
      </c>
      <c r="H164" s="6">
        <v>13929</v>
      </c>
      <c r="I164" s="10">
        <v>4.6900000000000004</v>
      </c>
      <c r="J164" s="10">
        <v>2.85</v>
      </c>
      <c r="K164" s="4">
        <v>12</v>
      </c>
    </row>
    <row r="165" spans="1:11" x14ac:dyDescent="0.3">
      <c r="A165" s="4">
        <v>164</v>
      </c>
      <c r="B165" t="s">
        <v>13</v>
      </c>
      <c r="C165" s="1">
        <v>44256</v>
      </c>
      <c r="D165" s="1"/>
      <c r="E165" t="s">
        <v>8</v>
      </c>
      <c r="F165" s="11">
        <f ca="1">IF(HR[[#This Row],[ Employee Status]]="exited",HR[[#This Row],[ExitDate]]-HR[[#This Row],[HireDate]],TODAY()-HR[[#This Row],[HireDate]])/365</f>
        <v>5.353424657534247</v>
      </c>
      <c r="G165" s="4" t="str">
        <f>IF(HR[[#This Row],[ Employee Status]]="still working","",YEAR(HR[[#This Row],[ExitDate]]))</f>
        <v/>
      </c>
      <c r="H165" s="6">
        <v>13568</v>
      </c>
      <c r="I165" s="10">
        <v>3.37</v>
      </c>
      <c r="J165" s="10">
        <v>2.56</v>
      </c>
      <c r="K165" s="4">
        <v>26</v>
      </c>
    </row>
    <row r="166" spans="1:11" x14ac:dyDescent="0.3">
      <c r="A166" s="4">
        <v>165</v>
      </c>
      <c r="B166" t="s">
        <v>13</v>
      </c>
      <c r="C166" s="1">
        <v>44971</v>
      </c>
      <c r="D166" s="1"/>
      <c r="E166" t="s">
        <v>8</v>
      </c>
      <c r="F166" s="11">
        <f ca="1">IF(HR[[#This Row],[ Employee Status]]="exited",HR[[#This Row],[ExitDate]]-HR[[#This Row],[HireDate]],TODAY()-HR[[#This Row],[HireDate]])/365</f>
        <v>3.3945205479452056</v>
      </c>
      <c r="G166" s="4" t="str">
        <f>IF(HR[[#This Row],[ Employee Status]]="still working","",YEAR(HR[[#This Row],[ExitDate]]))</f>
        <v/>
      </c>
      <c r="H166" s="6">
        <v>4218</v>
      </c>
      <c r="I166" s="10">
        <v>4.43</v>
      </c>
      <c r="J166" s="10">
        <v>3.62</v>
      </c>
      <c r="K166" s="4">
        <v>4</v>
      </c>
    </row>
    <row r="167" spans="1:11" x14ac:dyDescent="0.3">
      <c r="A167" s="4">
        <v>166</v>
      </c>
      <c r="B167" t="s">
        <v>10</v>
      </c>
      <c r="C167" s="1">
        <v>43753</v>
      </c>
      <c r="D167" s="1"/>
      <c r="E167" t="s">
        <v>8</v>
      </c>
      <c r="F167" s="11">
        <f ca="1">IF(HR[[#This Row],[ Employee Status]]="exited",HR[[#This Row],[ExitDate]]-HR[[#This Row],[HireDate]],TODAY()-HR[[#This Row],[HireDate]])/365</f>
        <v>6.7315068493150685</v>
      </c>
      <c r="G167" s="4" t="str">
        <f>IF(HR[[#This Row],[ Employee Status]]="still working","",YEAR(HR[[#This Row],[ExitDate]]))</f>
        <v/>
      </c>
      <c r="H167" s="6">
        <v>12175</v>
      </c>
      <c r="I167" s="10">
        <v>4.09</v>
      </c>
      <c r="J167" s="10">
        <v>1.2</v>
      </c>
      <c r="K167" s="4">
        <v>17</v>
      </c>
    </row>
    <row r="168" spans="1:11" x14ac:dyDescent="0.3">
      <c r="A168" s="4">
        <v>167</v>
      </c>
      <c r="B168" t="s">
        <v>9</v>
      </c>
      <c r="C168" s="1">
        <v>44835</v>
      </c>
      <c r="D168" s="1"/>
      <c r="E168" t="s">
        <v>8</v>
      </c>
      <c r="F168" s="11">
        <f ca="1">IF(HR[[#This Row],[ Employee Status]]="exited",HR[[#This Row],[ExitDate]]-HR[[#This Row],[HireDate]],TODAY()-HR[[#This Row],[HireDate]])/365</f>
        <v>3.7671232876712328</v>
      </c>
      <c r="G168" s="4" t="str">
        <f>IF(HR[[#This Row],[ Employee Status]]="still working","",YEAR(HR[[#This Row],[ExitDate]]))</f>
        <v/>
      </c>
      <c r="H168" s="6">
        <v>12903</v>
      </c>
      <c r="I168" s="10">
        <v>4.55</v>
      </c>
      <c r="J168" s="10">
        <v>2.98</v>
      </c>
      <c r="K168" s="4">
        <v>29</v>
      </c>
    </row>
    <row r="169" spans="1:11" x14ac:dyDescent="0.3">
      <c r="A169" s="4">
        <v>168</v>
      </c>
      <c r="B169" t="s">
        <v>10</v>
      </c>
      <c r="C169" s="1">
        <v>44031</v>
      </c>
      <c r="D169" s="1"/>
      <c r="E169" t="s">
        <v>8</v>
      </c>
      <c r="F169" s="11">
        <f ca="1">IF(HR[[#This Row],[ Employee Status]]="exited",HR[[#This Row],[ExitDate]]-HR[[#This Row],[HireDate]],TODAY()-HR[[#This Row],[HireDate]])/365</f>
        <v>5.9698630136986299</v>
      </c>
      <c r="G169" s="4" t="str">
        <f>IF(HR[[#This Row],[ Employee Status]]="still working","",YEAR(HR[[#This Row],[ExitDate]]))</f>
        <v/>
      </c>
      <c r="H169" s="6">
        <v>4591</v>
      </c>
      <c r="I169" s="10">
        <v>4.59</v>
      </c>
      <c r="J169" s="10">
        <v>3.94</v>
      </c>
      <c r="K169" s="4">
        <v>23</v>
      </c>
    </row>
    <row r="170" spans="1:11" x14ac:dyDescent="0.3">
      <c r="A170" s="4">
        <v>169</v>
      </c>
      <c r="B170" t="s">
        <v>9</v>
      </c>
      <c r="C170" s="1">
        <v>45103</v>
      </c>
      <c r="D170" s="1">
        <v>46262</v>
      </c>
      <c r="E170" t="s">
        <v>12</v>
      </c>
      <c r="F170" s="11">
        <f ca="1">IF(HR[[#This Row],[ Employee Status]]="exited",HR[[#This Row],[ExitDate]]-HR[[#This Row],[HireDate]],TODAY()-HR[[#This Row],[HireDate]])/365</f>
        <v>3.1753424657534248</v>
      </c>
      <c r="G170" s="4">
        <f>IF(HR[[#This Row],[ Employee Status]]="still working","",YEAR(HR[[#This Row],[ExitDate]]))</f>
        <v>2026</v>
      </c>
      <c r="H170" s="6">
        <v>4704</v>
      </c>
      <c r="I170" s="10">
        <v>4.79</v>
      </c>
      <c r="J170" s="10">
        <v>1.42</v>
      </c>
      <c r="K170" s="4">
        <v>26</v>
      </c>
    </row>
    <row r="171" spans="1:11" x14ac:dyDescent="0.3">
      <c r="A171" s="4">
        <v>170</v>
      </c>
      <c r="B171" t="s">
        <v>7</v>
      </c>
      <c r="C171" s="1">
        <v>44079</v>
      </c>
      <c r="D171" s="1">
        <v>45549</v>
      </c>
      <c r="E171" t="s">
        <v>12</v>
      </c>
      <c r="F171" s="11">
        <f ca="1">IF(HR[[#This Row],[ Employee Status]]="exited",HR[[#This Row],[ExitDate]]-HR[[#This Row],[HireDate]],TODAY()-HR[[#This Row],[HireDate]])/365</f>
        <v>4.0273972602739727</v>
      </c>
      <c r="G171" s="4">
        <f>IF(HR[[#This Row],[ Employee Status]]="still working","",YEAR(HR[[#This Row],[ExitDate]]))</f>
        <v>2024</v>
      </c>
      <c r="H171" s="6">
        <v>3556</v>
      </c>
      <c r="I171" s="10">
        <v>4.4800000000000004</v>
      </c>
      <c r="J171" s="10">
        <v>1.52</v>
      </c>
      <c r="K171" s="4">
        <v>10</v>
      </c>
    </row>
    <row r="172" spans="1:11" x14ac:dyDescent="0.3">
      <c r="A172" s="4">
        <v>171</v>
      </c>
      <c r="B172" t="s">
        <v>10</v>
      </c>
      <c r="C172" s="1">
        <v>44924</v>
      </c>
      <c r="D172" s="1"/>
      <c r="E172" t="s">
        <v>8</v>
      </c>
      <c r="F172" s="11">
        <f ca="1">IF(HR[[#This Row],[ Employee Status]]="exited",HR[[#This Row],[ExitDate]]-HR[[#This Row],[HireDate]],TODAY()-HR[[#This Row],[HireDate]])/365</f>
        <v>3.5232876712328767</v>
      </c>
      <c r="G172" s="4" t="str">
        <f>IF(HR[[#This Row],[ Employee Status]]="still working","",YEAR(HR[[#This Row],[ExitDate]]))</f>
        <v/>
      </c>
      <c r="H172" s="6">
        <v>5403</v>
      </c>
      <c r="I172" s="10">
        <v>2.78</v>
      </c>
      <c r="J172" s="10">
        <v>1.77</v>
      </c>
      <c r="K172" s="4">
        <v>12</v>
      </c>
    </row>
    <row r="173" spans="1:11" x14ac:dyDescent="0.3">
      <c r="A173" s="4">
        <v>172</v>
      </c>
      <c r="B173" t="s">
        <v>13</v>
      </c>
      <c r="C173" s="1">
        <v>43128</v>
      </c>
      <c r="D173" s="1"/>
      <c r="E173" t="s">
        <v>8</v>
      </c>
      <c r="F173" s="11">
        <f ca="1">IF(HR[[#This Row],[ Employee Status]]="exited",HR[[#This Row],[ExitDate]]-HR[[#This Row],[HireDate]],TODAY()-HR[[#This Row],[HireDate]])/365</f>
        <v>8.4438356164383563</v>
      </c>
      <c r="G173" s="4" t="str">
        <f>IF(HR[[#This Row],[ Employee Status]]="still working","",YEAR(HR[[#This Row],[ExitDate]]))</f>
        <v/>
      </c>
      <c r="H173" s="6">
        <v>5064</v>
      </c>
      <c r="I173" s="10">
        <v>2.0299999999999998</v>
      </c>
      <c r="J173" s="10">
        <v>4.2699999999999996</v>
      </c>
      <c r="K173" s="4">
        <v>15</v>
      </c>
    </row>
    <row r="174" spans="1:11" x14ac:dyDescent="0.3">
      <c r="A174" s="4">
        <v>173</v>
      </c>
      <c r="B174" t="s">
        <v>11</v>
      </c>
      <c r="C174" s="1">
        <v>44575</v>
      </c>
      <c r="D174" s="1"/>
      <c r="E174" t="s">
        <v>8</v>
      </c>
      <c r="F174" s="11">
        <f ca="1">IF(HR[[#This Row],[ Employee Status]]="exited",HR[[#This Row],[ExitDate]]-HR[[#This Row],[HireDate]],TODAY()-HR[[#This Row],[HireDate]])/365</f>
        <v>4.4794520547945202</v>
      </c>
      <c r="G174" s="4" t="str">
        <f>IF(HR[[#This Row],[ Employee Status]]="still working","",YEAR(HR[[#This Row],[ExitDate]]))</f>
        <v/>
      </c>
      <c r="H174" s="6">
        <v>14718</v>
      </c>
      <c r="I174" s="10">
        <v>3.03</v>
      </c>
      <c r="J174" s="10">
        <v>3.53</v>
      </c>
      <c r="K174" s="4">
        <v>29</v>
      </c>
    </row>
    <row r="175" spans="1:11" x14ac:dyDescent="0.3">
      <c r="A175" s="4">
        <v>174</v>
      </c>
      <c r="B175" t="s">
        <v>11</v>
      </c>
      <c r="C175" s="1">
        <v>43263</v>
      </c>
      <c r="D175" s="1">
        <v>43480</v>
      </c>
      <c r="E175" t="s">
        <v>12</v>
      </c>
      <c r="F175" s="11">
        <f ca="1">IF(HR[[#This Row],[ Employee Status]]="exited",HR[[#This Row],[ExitDate]]-HR[[#This Row],[HireDate]],TODAY()-HR[[#This Row],[HireDate]])/365</f>
        <v>0.59452054794520548</v>
      </c>
      <c r="G175" s="4">
        <f>IF(HR[[#This Row],[ Employee Status]]="still working","",YEAR(HR[[#This Row],[ExitDate]]))</f>
        <v>2019</v>
      </c>
      <c r="H175" s="6">
        <v>10059</v>
      </c>
      <c r="I175" s="10">
        <v>2.9</v>
      </c>
      <c r="J175" s="10">
        <v>3.83</v>
      </c>
      <c r="K175" s="4">
        <v>21</v>
      </c>
    </row>
    <row r="176" spans="1:11" x14ac:dyDescent="0.3">
      <c r="A176" s="4">
        <v>175</v>
      </c>
      <c r="B176" t="s">
        <v>11</v>
      </c>
      <c r="C176" s="1">
        <v>43139</v>
      </c>
      <c r="D176" s="1"/>
      <c r="E176" t="s">
        <v>8</v>
      </c>
      <c r="F176" s="11">
        <f ca="1">IF(HR[[#This Row],[ Employee Status]]="exited",HR[[#This Row],[ExitDate]]-HR[[#This Row],[HireDate]],TODAY()-HR[[#This Row],[HireDate]])/365</f>
        <v>8.4136986301369863</v>
      </c>
      <c r="G176" s="4" t="str">
        <f>IF(HR[[#This Row],[ Employee Status]]="still working","",YEAR(HR[[#This Row],[ExitDate]]))</f>
        <v/>
      </c>
      <c r="H176" s="6">
        <v>5752</v>
      </c>
      <c r="I176" s="10">
        <v>4.5599999999999996</v>
      </c>
      <c r="J176" s="10">
        <v>4.96</v>
      </c>
      <c r="K176" s="4">
        <v>14</v>
      </c>
    </row>
    <row r="177" spans="1:11" x14ac:dyDescent="0.3">
      <c r="A177" s="4">
        <v>176</v>
      </c>
      <c r="B177" t="s">
        <v>9</v>
      </c>
      <c r="C177" s="1">
        <v>45169</v>
      </c>
      <c r="D177" s="1">
        <v>46634</v>
      </c>
      <c r="E177" t="s">
        <v>12</v>
      </c>
      <c r="F177" s="11">
        <f ca="1">IF(HR[[#This Row],[ Employee Status]]="exited",HR[[#This Row],[ExitDate]]-HR[[#This Row],[HireDate]],TODAY()-HR[[#This Row],[HireDate]])/365</f>
        <v>4.0136986301369859</v>
      </c>
      <c r="G177" s="4">
        <f>IF(HR[[#This Row],[ Employee Status]]="still working","",YEAR(HR[[#This Row],[ExitDate]]))</f>
        <v>2027</v>
      </c>
      <c r="H177" s="6">
        <v>11954</v>
      </c>
      <c r="I177" s="10">
        <v>2.0699999999999998</v>
      </c>
      <c r="J177" s="10">
        <v>1.0900000000000001</v>
      </c>
      <c r="K177" s="4">
        <v>5</v>
      </c>
    </row>
    <row r="178" spans="1:11" x14ac:dyDescent="0.3">
      <c r="A178" s="4">
        <v>177</v>
      </c>
      <c r="B178" t="s">
        <v>14</v>
      </c>
      <c r="C178" s="1">
        <v>43833</v>
      </c>
      <c r="D178" s="1"/>
      <c r="E178" t="s">
        <v>8</v>
      </c>
      <c r="F178" s="11">
        <f ca="1">IF(HR[[#This Row],[ Employee Status]]="exited",HR[[#This Row],[ExitDate]]-HR[[#This Row],[HireDate]],TODAY()-HR[[#This Row],[HireDate]])/365</f>
        <v>6.5123287671232877</v>
      </c>
      <c r="G178" s="4" t="str">
        <f>IF(HR[[#This Row],[ Employee Status]]="still working","",YEAR(HR[[#This Row],[ExitDate]]))</f>
        <v/>
      </c>
      <c r="H178" s="6">
        <v>13698</v>
      </c>
      <c r="I178" s="10">
        <v>2.82</v>
      </c>
      <c r="J178" s="10">
        <v>4.99</v>
      </c>
      <c r="K178" s="4">
        <v>16</v>
      </c>
    </row>
    <row r="179" spans="1:11" x14ac:dyDescent="0.3">
      <c r="A179" s="4">
        <v>178</v>
      </c>
      <c r="B179" t="s">
        <v>13</v>
      </c>
      <c r="C179" s="1">
        <v>45539</v>
      </c>
      <c r="D179" s="1"/>
      <c r="E179" t="s">
        <v>8</v>
      </c>
      <c r="F179" s="11">
        <f ca="1">IF(HR[[#This Row],[ Employee Status]]="exited",HR[[#This Row],[ExitDate]]-HR[[#This Row],[HireDate]],TODAY()-HR[[#This Row],[HireDate]])/365</f>
        <v>1.8383561643835618</v>
      </c>
      <c r="G179" s="4" t="str">
        <f>IF(HR[[#This Row],[ Employee Status]]="still working","",YEAR(HR[[#This Row],[ExitDate]]))</f>
        <v/>
      </c>
      <c r="H179" s="6">
        <v>3038</v>
      </c>
      <c r="I179" s="10">
        <v>2.9</v>
      </c>
      <c r="J179" s="10">
        <v>4.3600000000000003</v>
      </c>
      <c r="K179" s="4">
        <v>14</v>
      </c>
    </row>
    <row r="180" spans="1:11" x14ac:dyDescent="0.3">
      <c r="A180" s="4">
        <v>179</v>
      </c>
      <c r="B180" t="s">
        <v>11</v>
      </c>
      <c r="C180" s="1">
        <v>44780</v>
      </c>
      <c r="D180" s="1"/>
      <c r="E180" t="s">
        <v>8</v>
      </c>
      <c r="F180" s="11">
        <f ca="1">IF(HR[[#This Row],[ Employee Status]]="exited",HR[[#This Row],[ExitDate]]-HR[[#This Row],[HireDate]],TODAY()-HR[[#This Row],[HireDate]])/365</f>
        <v>3.9178082191780823</v>
      </c>
      <c r="G180" s="4" t="str">
        <f>IF(HR[[#This Row],[ Employee Status]]="still working","",YEAR(HR[[#This Row],[ExitDate]]))</f>
        <v/>
      </c>
      <c r="H180" s="6">
        <v>14722</v>
      </c>
      <c r="I180" s="10">
        <v>2.4500000000000002</v>
      </c>
      <c r="J180" s="10">
        <v>2.73</v>
      </c>
      <c r="K180" s="4">
        <v>20</v>
      </c>
    </row>
    <row r="181" spans="1:11" x14ac:dyDescent="0.3">
      <c r="A181" s="4">
        <v>180</v>
      </c>
      <c r="B181" t="s">
        <v>7</v>
      </c>
      <c r="C181" s="1">
        <v>43298</v>
      </c>
      <c r="D181" s="1">
        <v>43353</v>
      </c>
      <c r="E181" t="s">
        <v>12</v>
      </c>
      <c r="F181" s="11">
        <f ca="1">IF(HR[[#This Row],[ Employee Status]]="exited",HR[[#This Row],[ExitDate]]-HR[[#This Row],[HireDate]],TODAY()-HR[[#This Row],[HireDate]])/365</f>
        <v>0.15068493150684931</v>
      </c>
      <c r="G181" s="4">
        <f>IF(HR[[#This Row],[ Employee Status]]="still working","",YEAR(HR[[#This Row],[ExitDate]]))</f>
        <v>2018</v>
      </c>
      <c r="H181" s="6">
        <v>7179</v>
      </c>
      <c r="I181" s="10">
        <v>4.95</v>
      </c>
      <c r="J181" s="10">
        <v>2.64</v>
      </c>
      <c r="K181" s="4">
        <v>27</v>
      </c>
    </row>
    <row r="182" spans="1:11" x14ac:dyDescent="0.3">
      <c r="A182" s="4">
        <v>181</v>
      </c>
      <c r="B182" t="s">
        <v>10</v>
      </c>
      <c r="C182" s="1">
        <v>44542</v>
      </c>
      <c r="D182" s="1"/>
      <c r="E182" t="s">
        <v>8</v>
      </c>
      <c r="F182" s="11">
        <f ca="1">IF(HR[[#This Row],[ Employee Status]]="exited",HR[[#This Row],[ExitDate]]-HR[[#This Row],[HireDate]],TODAY()-HR[[#This Row],[HireDate]])/365</f>
        <v>4.5698630136986305</v>
      </c>
      <c r="G182" s="4" t="str">
        <f>IF(HR[[#This Row],[ Employee Status]]="still working","",YEAR(HR[[#This Row],[ExitDate]]))</f>
        <v/>
      </c>
      <c r="H182" s="6">
        <v>4980</v>
      </c>
      <c r="I182" s="10">
        <v>4.1399999999999997</v>
      </c>
      <c r="J182" s="10">
        <v>3.25</v>
      </c>
      <c r="K182" s="4">
        <v>11</v>
      </c>
    </row>
    <row r="183" spans="1:11" x14ac:dyDescent="0.3">
      <c r="A183" s="4">
        <v>182</v>
      </c>
      <c r="B183" t="s">
        <v>9</v>
      </c>
      <c r="C183" s="1">
        <v>45436</v>
      </c>
      <c r="D183" s="1"/>
      <c r="E183" t="s">
        <v>8</v>
      </c>
      <c r="F183" s="11">
        <f ca="1">IF(HR[[#This Row],[ Employee Status]]="exited",HR[[#This Row],[ExitDate]]-HR[[#This Row],[HireDate]],TODAY()-HR[[#This Row],[HireDate]])/365</f>
        <v>2.1205479452054794</v>
      </c>
      <c r="G183" s="4" t="str">
        <f>IF(HR[[#This Row],[ Employee Status]]="still working","",YEAR(HR[[#This Row],[ExitDate]]))</f>
        <v/>
      </c>
      <c r="H183" s="6">
        <v>9573</v>
      </c>
      <c r="I183" s="10">
        <v>2.46</v>
      </c>
      <c r="J183" s="10">
        <v>2.81</v>
      </c>
      <c r="K183" s="4">
        <v>17</v>
      </c>
    </row>
    <row r="184" spans="1:11" x14ac:dyDescent="0.3">
      <c r="A184" s="4">
        <v>183</v>
      </c>
      <c r="B184" t="s">
        <v>14</v>
      </c>
      <c r="C184" s="1">
        <v>44078</v>
      </c>
      <c r="D184" s="1">
        <v>45243</v>
      </c>
      <c r="E184" t="s">
        <v>12</v>
      </c>
      <c r="F184" s="11">
        <f ca="1">IF(HR[[#This Row],[ Employee Status]]="exited",HR[[#This Row],[ExitDate]]-HR[[#This Row],[HireDate]],TODAY()-HR[[#This Row],[HireDate]])/365</f>
        <v>3.1917808219178081</v>
      </c>
      <c r="G184" s="4">
        <f>IF(HR[[#This Row],[ Employee Status]]="still working","",YEAR(HR[[#This Row],[ExitDate]]))</f>
        <v>2023</v>
      </c>
      <c r="H184" s="6">
        <v>3959</v>
      </c>
      <c r="I184" s="10">
        <v>4.9000000000000004</v>
      </c>
      <c r="J184" s="10">
        <v>1.74</v>
      </c>
      <c r="K184" s="4">
        <v>14</v>
      </c>
    </row>
    <row r="185" spans="1:11" x14ac:dyDescent="0.3">
      <c r="A185" s="4">
        <v>184</v>
      </c>
      <c r="B185" t="s">
        <v>11</v>
      </c>
      <c r="C185" s="1">
        <v>44635</v>
      </c>
      <c r="D185" s="1"/>
      <c r="E185" t="s">
        <v>8</v>
      </c>
      <c r="F185" s="11">
        <f ca="1">IF(HR[[#This Row],[ Employee Status]]="exited",HR[[#This Row],[ExitDate]]-HR[[#This Row],[HireDate]],TODAY()-HR[[#This Row],[HireDate]])/365</f>
        <v>4.3150684931506849</v>
      </c>
      <c r="G185" s="4" t="str">
        <f>IF(HR[[#This Row],[ Employee Status]]="still working","",YEAR(HR[[#This Row],[ExitDate]]))</f>
        <v/>
      </c>
      <c r="H185" s="6">
        <v>14536</v>
      </c>
      <c r="I185" s="10">
        <v>3.68</v>
      </c>
      <c r="J185" s="10">
        <v>1.9</v>
      </c>
      <c r="K185" s="4">
        <v>27</v>
      </c>
    </row>
    <row r="186" spans="1:11" x14ac:dyDescent="0.3">
      <c r="A186" s="4">
        <v>185</v>
      </c>
      <c r="B186" t="s">
        <v>11</v>
      </c>
      <c r="C186" s="1">
        <v>44406</v>
      </c>
      <c r="D186" s="1"/>
      <c r="E186" t="s">
        <v>8</v>
      </c>
      <c r="F186" s="11">
        <f ca="1">IF(HR[[#This Row],[ Employee Status]]="exited",HR[[#This Row],[ExitDate]]-HR[[#This Row],[HireDate]],TODAY()-HR[[#This Row],[HireDate]])/365</f>
        <v>4.9424657534246572</v>
      </c>
      <c r="G186" s="4" t="str">
        <f>IF(HR[[#This Row],[ Employee Status]]="still working","",YEAR(HR[[#This Row],[ExitDate]]))</f>
        <v/>
      </c>
      <c r="H186" s="6">
        <v>9644</v>
      </c>
      <c r="I186" s="10">
        <v>2.93</v>
      </c>
      <c r="J186" s="10">
        <v>2.82</v>
      </c>
      <c r="K186" s="4">
        <v>7</v>
      </c>
    </row>
    <row r="187" spans="1:11" x14ac:dyDescent="0.3">
      <c r="A187" s="4">
        <v>186</v>
      </c>
      <c r="B187" t="s">
        <v>11</v>
      </c>
      <c r="C187" s="1">
        <v>43351</v>
      </c>
      <c r="D187" s="1"/>
      <c r="E187" t="s">
        <v>8</v>
      </c>
      <c r="F187" s="11">
        <f ca="1">IF(HR[[#This Row],[ Employee Status]]="exited",HR[[#This Row],[ExitDate]]-HR[[#This Row],[HireDate]],TODAY()-HR[[#This Row],[HireDate]])/365</f>
        <v>7.8328767123287673</v>
      </c>
      <c r="G187" s="4" t="str">
        <f>IF(HR[[#This Row],[ Employee Status]]="still working","",YEAR(HR[[#This Row],[ExitDate]]))</f>
        <v/>
      </c>
      <c r="H187" s="6">
        <v>4389</v>
      </c>
      <c r="I187" s="10">
        <v>3.97</v>
      </c>
      <c r="J187" s="10">
        <v>4.03</v>
      </c>
      <c r="K187" s="4">
        <v>27</v>
      </c>
    </row>
    <row r="188" spans="1:11" x14ac:dyDescent="0.3">
      <c r="A188" s="4">
        <v>187</v>
      </c>
      <c r="B188" t="s">
        <v>14</v>
      </c>
      <c r="C188" s="1">
        <v>44685</v>
      </c>
      <c r="D188" s="1">
        <v>45080</v>
      </c>
      <c r="E188" t="s">
        <v>12</v>
      </c>
      <c r="F188" s="11">
        <f ca="1">IF(HR[[#This Row],[ Employee Status]]="exited",HR[[#This Row],[ExitDate]]-HR[[#This Row],[HireDate]],TODAY()-HR[[#This Row],[HireDate]])/365</f>
        <v>1.0821917808219179</v>
      </c>
      <c r="G188" s="4">
        <f>IF(HR[[#This Row],[ Employee Status]]="still working","",YEAR(HR[[#This Row],[ExitDate]]))</f>
        <v>2023</v>
      </c>
      <c r="H188" s="6">
        <v>3213</v>
      </c>
      <c r="I188" s="10">
        <v>2.31</v>
      </c>
      <c r="J188" s="10">
        <v>3.28</v>
      </c>
      <c r="K188" s="4">
        <v>14</v>
      </c>
    </row>
    <row r="189" spans="1:11" x14ac:dyDescent="0.3">
      <c r="A189" s="4">
        <v>188</v>
      </c>
      <c r="B189" t="s">
        <v>11</v>
      </c>
      <c r="C189" s="1">
        <v>43560</v>
      </c>
      <c r="D189" s="1"/>
      <c r="E189" t="s">
        <v>8</v>
      </c>
      <c r="F189" s="11">
        <f ca="1">IF(HR[[#This Row],[ Employee Status]]="exited",HR[[#This Row],[ExitDate]]-HR[[#This Row],[HireDate]],TODAY()-HR[[#This Row],[HireDate]])/365</f>
        <v>7.2602739726027394</v>
      </c>
      <c r="G189" s="4" t="str">
        <f>IF(HR[[#This Row],[ Employee Status]]="still working","",YEAR(HR[[#This Row],[ExitDate]]))</f>
        <v/>
      </c>
      <c r="H189" s="6">
        <v>5720</v>
      </c>
      <c r="I189" s="10">
        <v>2.98</v>
      </c>
      <c r="J189" s="10">
        <v>3.07</v>
      </c>
      <c r="K189" s="4">
        <v>0</v>
      </c>
    </row>
    <row r="190" spans="1:11" x14ac:dyDescent="0.3">
      <c r="A190" s="4">
        <v>189</v>
      </c>
      <c r="B190" t="s">
        <v>11</v>
      </c>
      <c r="C190" s="1">
        <v>43380</v>
      </c>
      <c r="D190" s="1">
        <v>44528</v>
      </c>
      <c r="E190" t="s">
        <v>12</v>
      </c>
      <c r="F190" s="11">
        <f ca="1">IF(HR[[#This Row],[ Employee Status]]="exited",HR[[#This Row],[ExitDate]]-HR[[#This Row],[HireDate]],TODAY()-HR[[#This Row],[HireDate]])/365</f>
        <v>3.1452054794520548</v>
      </c>
      <c r="G190" s="4">
        <f>IF(HR[[#This Row],[ Employee Status]]="still working","",YEAR(HR[[#This Row],[ExitDate]]))</f>
        <v>2021</v>
      </c>
      <c r="H190" s="6">
        <v>9732</v>
      </c>
      <c r="I190" s="10">
        <v>2.4</v>
      </c>
      <c r="J190" s="10">
        <v>3.27</v>
      </c>
      <c r="K190" s="4">
        <v>13</v>
      </c>
    </row>
    <row r="191" spans="1:11" x14ac:dyDescent="0.3">
      <c r="A191" s="4">
        <v>190</v>
      </c>
      <c r="B191" t="s">
        <v>10</v>
      </c>
      <c r="C191" s="1">
        <v>43658</v>
      </c>
      <c r="D191" s="1"/>
      <c r="E191" t="s">
        <v>8</v>
      </c>
      <c r="F191" s="11">
        <f ca="1">IF(HR[[#This Row],[ Employee Status]]="exited",HR[[#This Row],[ExitDate]]-HR[[#This Row],[HireDate]],TODAY()-HR[[#This Row],[HireDate]])/365</f>
        <v>6.9917808219178079</v>
      </c>
      <c r="G191" s="4" t="str">
        <f>IF(HR[[#This Row],[ Employee Status]]="still working","",YEAR(HR[[#This Row],[ExitDate]]))</f>
        <v/>
      </c>
      <c r="H191" s="6">
        <v>3105</v>
      </c>
      <c r="I191" s="10">
        <v>3.91</v>
      </c>
      <c r="J191" s="10">
        <v>3.83</v>
      </c>
      <c r="K191" s="4">
        <v>5</v>
      </c>
    </row>
    <row r="192" spans="1:11" x14ac:dyDescent="0.3">
      <c r="A192" s="4">
        <v>191</v>
      </c>
      <c r="B192" t="s">
        <v>13</v>
      </c>
      <c r="C192" s="1">
        <v>43692</v>
      </c>
      <c r="D192" s="1"/>
      <c r="E192" t="s">
        <v>8</v>
      </c>
      <c r="F192" s="11">
        <f ca="1">IF(HR[[#This Row],[ Employee Status]]="exited",HR[[#This Row],[ExitDate]]-HR[[#This Row],[HireDate]],TODAY()-HR[[#This Row],[HireDate]])/365</f>
        <v>6.8986301369863012</v>
      </c>
      <c r="G192" s="4" t="str">
        <f>IF(HR[[#This Row],[ Employee Status]]="still working","",YEAR(HR[[#This Row],[ExitDate]]))</f>
        <v/>
      </c>
      <c r="H192" s="6">
        <v>13462</v>
      </c>
      <c r="I192" s="10">
        <v>4.6100000000000003</v>
      </c>
      <c r="J192" s="10">
        <v>3.86</v>
      </c>
      <c r="K192" s="4">
        <v>29</v>
      </c>
    </row>
    <row r="193" spans="1:11" x14ac:dyDescent="0.3">
      <c r="A193" s="4">
        <v>192</v>
      </c>
      <c r="B193" t="s">
        <v>14</v>
      </c>
      <c r="C193" s="1">
        <v>44060</v>
      </c>
      <c r="D193" s="1">
        <v>45252</v>
      </c>
      <c r="E193" t="s">
        <v>12</v>
      </c>
      <c r="F193" s="11">
        <f ca="1">IF(HR[[#This Row],[ Employee Status]]="exited",HR[[#This Row],[ExitDate]]-HR[[#This Row],[HireDate]],TODAY()-HR[[#This Row],[HireDate]])/365</f>
        <v>3.2657534246575342</v>
      </c>
      <c r="G193" s="4">
        <f>IF(HR[[#This Row],[ Employee Status]]="still working","",YEAR(HR[[#This Row],[ExitDate]]))</f>
        <v>2023</v>
      </c>
      <c r="H193" s="6">
        <v>5430</v>
      </c>
      <c r="I193" s="10">
        <v>3.64</v>
      </c>
      <c r="J193" s="10">
        <v>4.2699999999999996</v>
      </c>
      <c r="K193" s="4">
        <v>25</v>
      </c>
    </row>
    <row r="194" spans="1:11" x14ac:dyDescent="0.3">
      <c r="A194" s="4">
        <v>193</v>
      </c>
      <c r="B194" t="s">
        <v>13</v>
      </c>
      <c r="C194" s="1">
        <v>44864</v>
      </c>
      <c r="D194" s="1"/>
      <c r="E194" t="s">
        <v>8</v>
      </c>
      <c r="F194" s="11">
        <f ca="1">IF(HR[[#This Row],[ Employee Status]]="exited",HR[[#This Row],[ExitDate]]-HR[[#This Row],[HireDate]],TODAY()-HR[[#This Row],[HireDate]])/365</f>
        <v>3.6876712328767125</v>
      </c>
      <c r="G194" s="4" t="str">
        <f>IF(HR[[#This Row],[ Employee Status]]="still working","",YEAR(HR[[#This Row],[ExitDate]]))</f>
        <v/>
      </c>
      <c r="H194" s="6">
        <v>10867</v>
      </c>
      <c r="I194" s="10">
        <v>2.1800000000000002</v>
      </c>
      <c r="J194" s="10">
        <v>1.99</v>
      </c>
      <c r="K194" s="4">
        <v>12</v>
      </c>
    </row>
    <row r="195" spans="1:11" x14ac:dyDescent="0.3">
      <c r="A195" s="4">
        <v>194</v>
      </c>
      <c r="B195" t="s">
        <v>14</v>
      </c>
      <c r="C195" s="1">
        <v>45542</v>
      </c>
      <c r="D195" s="1"/>
      <c r="E195" t="s">
        <v>8</v>
      </c>
      <c r="F195" s="11">
        <f ca="1">IF(HR[[#This Row],[ Employee Status]]="exited",HR[[#This Row],[ExitDate]]-HR[[#This Row],[HireDate]],TODAY()-HR[[#This Row],[HireDate]])/365</f>
        <v>1.8301369863013699</v>
      </c>
      <c r="G195" s="4" t="str">
        <f>IF(HR[[#This Row],[ Employee Status]]="still working","",YEAR(HR[[#This Row],[ExitDate]]))</f>
        <v/>
      </c>
      <c r="H195" s="6">
        <v>13361</v>
      </c>
      <c r="I195" s="10">
        <v>4.2300000000000004</v>
      </c>
      <c r="J195" s="10">
        <v>4.49</v>
      </c>
      <c r="K195" s="4">
        <v>20</v>
      </c>
    </row>
    <row r="196" spans="1:11" x14ac:dyDescent="0.3">
      <c r="A196" s="4">
        <v>195</v>
      </c>
      <c r="B196" t="s">
        <v>14</v>
      </c>
      <c r="C196" s="1">
        <v>43332</v>
      </c>
      <c r="D196" s="1"/>
      <c r="E196" t="s">
        <v>8</v>
      </c>
      <c r="F196" s="11">
        <f ca="1">IF(HR[[#This Row],[ Employee Status]]="exited",HR[[#This Row],[ExitDate]]-HR[[#This Row],[HireDate]],TODAY()-HR[[#This Row],[HireDate]])/365</f>
        <v>7.8849315068493153</v>
      </c>
      <c r="G196" s="4" t="str">
        <f>IF(HR[[#This Row],[ Employee Status]]="still working","",YEAR(HR[[#This Row],[ExitDate]]))</f>
        <v/>
      </c>
      <c r="H196" s="6">
        <v>10979</v>
      </c>
      <c r="I196" s="10">
        <v>2.69</v>
      </c>
      <c r="J196" s="10">
        <v>4.99</v>
      </c>
      <c r="K196" s="4">
        <v>8</v>
      </c>
    </row>
    <row r="197" spans="1:11" x14ac:dyDescent="0.3">
      <c r="A197" s="4">
        <v>196</v>
      </c>
      <c r="B197" t="s">
        <v>9</v>
      </c>
      <c r="C197" s="1">
        <v>43686</v>
      </c>
      <c r="D197" s="1"/>
      <c r="E197" t="s">
        <v>8</v>
      </c>
      <c r="F197" s="11">
        <f ca="1">IF(HR[[#This Row],[ Employee Status]]="exited",HR[[#This Row],[ExitDate]]-HR[[#This Row],[HireDate]],TODAY()-HR[[#This Row],[HireDate]])/365</f>
        <v>6.9150684931506845</v>
      </c>
      <c r="G197" s="4" t="str">
        <f>IF(HR[[#This Row],[ Employee Status]]="still working","",YEAR(HR[[#This Row],[ExitDate]]))</f>
        <v/>
      </c>
      <c r="H197" s="6">
        <v>11946</v>
      </c>
      <c r="I197" s="10">
        <v>2.09</v>
      </c>
      <c r="J197" s="10">
        <v>2.0299999999999998</v>
      </c>
      <c r="K197" s="4">
        <v>11</v>
      </c>
    </row>
    <row r="198" spans="1:11" x14ac:dyDescent="0.3">
      <c r="A198" s="4">
        <v>197</v>
      </c>
      <c r="B198" t="s">
        <v>7</v>
      </c>
      <c r="C198" s="1">
        <v>43774</v>
      </c>
      <c r="D198" s="1"/>
      <c r="E198" t="s">
        <v>8</v>
      </c>
      <c r="F198" s="11">
        <f ca="1">IF(HR[[#This Row],[ Employee Status]]="exited",HR[[#This Row],[ExitDate]]-HR[[#This Row],[HireDate]],TODAY()-HR[[#This Row],[HireDate]])/365</f>
        <v>6.6739726027397257</v>
      </c>
      <c r="G198" s="4" t="str">
        <f>IF(HR[[#This Row],[ Employee Status]]="still working","",YEAR(HR[[#This Row],[ExitDate]]))</f>
        <v/>
      </c>
      <c r="H198" s="6">
        <v>3158</v>
      </c>
      <c r="I198" s="10">
        <v>3.89</v>
      </c>
      <c r="J198" s="10">
        <v>3.94</v>
      </c>
      <c r="K198" s="4">
        <v>29</v>
      </c>
    </row>
    <row r="199" spans="1:11" x14ac:dyDescent="0.3">
      <c r="A199" s="4">
        <v>198</v>
      </c>
      <c r="B199" t="s">
        <v>10</v>
      </c>
      <c r="C199" s="1">
        <v>44155</v>
      </c>
      <c r="D199" s="1">
        <v>44430</v>
      </c>
      <c r="E199" t="s">
        <v>12</v>
      </c>
      <c r="F199" s="11">
        <f ca="1">IF(HR[[#This Row],[ Employee Status]]="exited",HR[[#This Row],[ExitDate]]-HR[[#This Row],[HireDate]],TODAY()-HR[[#This Row],[HireDate]])/365</f>
        <v>0.75342465753424659</v>
      </c>
      <c r="G199" s="4">
        <f>IF(HR[[#This Row],[ Employee Status]]="still working","",YEAR(HR[[#This Row],[ExitDate]]))</f>
        <v>2021</v>
      </c>
      <c r="H199" s="6">
        <v>4712</v>
      </c>
      <c r="I199" s="10">
        <v>2.09</v>
      </c>
      <c r="J199" s="10">
        <v>2.58</v>
      </c>
      <c r="K199" s="4">
        <v>3</v>
      </c>
    </row>
    <row r="200" spans="1:11" x14ac:dyDescent="0.3">
      <c r="A200" s="4">
        <v>199</v>
      </c>
      <c r="B200" t="s">
        <v>10</v>
      </c>
      <c r="C200" s="1">
        <v>45500</v>
      </c>
      <c r="D200" s="1">
        <v>45695</v>
      </c>
      <c r="E200" t="s">
        <v>12</v>
      </c>
      <c r="F200" s="11">
        <f ca="1">IF(HR[[#This Row],[ Employee Status]]="exited",HR[[#This Row],[ExitDate]]-HR[[#This Row],[HireDate]],TODAY()-HR[[#This Row],[HireDate]])/365</f>
        <v>0.53424657534246578</v>
      </c>
      <c r="G200" s="4">
        <f>IF(HR[[#This Row],[ Employee Status]]="still working","",YEAR(HR[[#This Row],[ExitDate]]))</f>
        <v>2025</v>
      </c>
      <c r="H200" s="6">
        <v>14171</v>
      </c>
      <c r="I200" s="10">
        <v>3.78</v>
      </c>
      <c r="J200" s="10">
        <v>4.6500000000000004</v>
      </c>
      <c r="K200" s="4">
        <v>11</v>
      </c>
    </row>
    <row r="201" spans="1:11" x14ac:dyDescent="0.3">
      <c r="A201" s="4">
        <v>200</v>
      </c>
      <c r="B201" t="s">
        <v>10</v>
      </c>
      <c r="C201" s="1">
        <v>43843</v>
      </c>
      <c r="D201" s="1"/>
      <c r="E201" t="s">
        <v>8</v>
      </c>
      <c r="F201" s="11">
        <f ca="1">IF(HR[[#This Row],[ Employee Status]]="exited",HR[[#This Row],[ExitDate]]-HR[[#This Row],[HireDate]],TODAY()-HR[[#This Row],[HireDate]])/365</f>
        <v>6.484931506849315</v>
      </c>
      <c r="G201" s="4" t="str">
        <f>IF(HR[[#This Row],[ Employee Status]]="still working","",YEAR(HR[[#This Row],[ExitDate]]))</f>
        <v/>
      </c>
      <c r="H201" s="6">
        <v>14815</v>
      </c>
      <c r="I201" s="10">
        <v>4.33</v>
      </c>
      <c r="J201" s="10">
        <v>2.62</v>
      </c>
      <c r="K201" s="4">
        <v>29</v>
      </c>
    </row>
    <row r="202" spans="1:11" x14ac:dyDescent="0.3">
      <c r="A202" s="4">
        <v>201</v>
      </c>
      <c r="B202" t="s">
        <v>9</v>
      </c>
      <c r="C202" s="1">
        <v>44448</v>
      </c>
      <c r="D202" s="1"/>
      <c r="E202" t="s">
        <v>8</v>
      </c>
      <c r="F202" s="11">
        <f ca="1">IF(HR[[#This Row],[ Employee Status]]="exited",HR[[#This Row],[ExitDate]]-HR[[#This Row],[HireDate]],TODAY()-HR[[#This Row],[HireDate]])/365</f>
        <v>4.8273972602739725</v>
      </c>
      <c r="G202" s="4" t="str">
        <f>IF(HR[[#This Row],[ Employee Status]]="still working","",YEAR(HR[[#This Row],[ExitDate]]))</f>
        <v/>
      </c>
      <c r="H202" s="6">
        <v>3525</v>
      </c>
      <c r="I202" s="10">
        <v>4.5599999999999996</v>
      </c>
      <c r="J202" s="10">
        <v>2.97</v>
      </c>
      <c r="K202" s="4">
        <v>29</v>
      </c>
    </row>
    <row r="203" spans="1:11" x14ac:dyDescent="0.3">
      <c r="A203" s="4">
        <v>202</v>
      </c>
      <c r="B203" t="s">
        <v>7</v>
      </c>
      <c r="C203" s="1">
        <v>45599</v>
      </c>
      <c r="D203" s="1"/>
      <c r="E203" t="s">
        <v>8</v>
      </c>
      <c r="F203" s="11">
        <f ca="1">IF(HR[[#This Row],[ Employee Status]]="exited",HR[[#This Row],[ExitDate]]-HR[[#This Row],[HireDate]],TODAY()-HR[[#This Row],[HireDate]])/365</f>
        <v>1.6739726027397259</v>
      </c>
      <c r="G203" s="4" t="str">
        <f>IF(HR[[#This Row],[ Employee Status]]="still working","",YEAR(HR[[#This Row],[ExitDate]]))</f>
        <v/>
      </c>
      <c r="H203" s="6">
        <v>4646</v>
      </c>
      <c r="I203" s="10">
        <v>3.99</v>
      </c>
      <c r="J203" s="10">
        <v>1.38</v>
      </c>
      <c r="K203" s="4">
        <v>16</v>
      </c>
    </row>
    <row r="204" spans="1:11" x14ac:dyDescent="0.3">
      <c r="A204" s="4">
        <v>203</v>
      </c>
      <c r="B204" t="s">
        <v>13</v>
      </c>
      <c r="C204" s="1">
        <v>43693</v>
      </c>
      <c r="D204" s="1"/>
      <c r="E204" t="s">
        <v>8</v>
      </c>
      <c r="F204" s="11">
        <f ca="1">IF(HR[[#This Row],[ Employee Status]]="exited",HR[[#This Row],[ExitDate]]-HR[[#This Row],[HireDate]],TODAY()-HR[[#This Row],[HireDate]])/365</f>
        <v>6.8958904109589039</v>
      </c>
      <c r="G204" s="4" t="str">
        <f>IF(HR[[#This Row],[ Employee Status]]="still working","",YEAR(HR[[#This Row],[ExitDate]]))</f>
        <v/>
      </c>
      <c r="H204" s="6">
        <v>11219</v>
      </c>
      <c r="I204" s="10">
        <v>2.98</v>
      </c>
      <c r="J204" s="10">
        <v>4.09</v>
      </c>
      <c r="K204" s="4">
        <v>23</v>
      </c>
    </row>
    <row r="205" spans="1:11" x14ac:dyDescent="0.3">
      <c r="A205" s="4">
        <v>204</v>
      </c>
      <c r="B205" t="s">
        <v>14</v>
      </c>
      <c r="C205" s="1">
        <v>43396</v>
      </c>
      <c r="D205" s="1"/>
      <c r="E205" t="s">
        <v>8</v>
      </c>
      <c r="F205" s="11">
        <f ca="1">IF(HR[[#This Row],[ Employee Status]]="exited",HR[[#This Row],[ExitDate]]-HR[[#This Row],[HireDate]],TODAY()-HR[[#This Row],[HireDate]])/365</f>
        <v>7.7095890410958905</v>
      </c>
      <c r="G205" s="4" t="str">
        <f>IF(HR[[#This Row],[ Employee Status]]="still working","",YEAR(HR[[#This Row],[ExitDate]]))</f>
        <v/>
      </c>
      <c r="H205" s="6">
        <v>6081</v>
      </c>
      <c r="I205" s="10">
        <v>3.56</v>
      </c>
      <c r="J205" s="10">
        <v>2.35</v>
      </c>
      <c r="K205" s="4">
        <v>29</v>
      </c>
    </row>
    <row r="206" spans="1:11" x14ac:dyDescent="0.3">
      <c r="A206" s="4">
        <v>205</v>
      </c>
      <c r="B206" t="s">
        <v>7</v>
      </c>
      <c r="C206" s="1">
        <v>43212</v>
      </c>
      <c r="D206" s="1"/>
      <c r="E206" t="s">
        <v>8</v>
      </c>
      <c r="F206" s="11">
        <f ca="1">IF(HR[[#This Row],[ Employee Status]]="exited",HR[[#This Row],[ExitDate]]-HR[[#This Row],[HireDate]],TODAY()-HR[[#This Row],[HireDate]])/365</f>
        <v>8.213698630136987</v>
      </c>
      <c r="G206" s="4" t="str">
        <f>IF(HR[[#This Row],[ Employee Status]]="still working","",YEAR(HR[[#This Row],[ExitDate]]))</f>
        <v/>
      </c>
      <c r="H206" s="6">
        <v>8895</v>
      </c>
      <c r="I206" s="10">
        <v>2.5</v>
      </c>
      <c r="J206" s="10">
        <v>1.67</v>
      </c>
      <c r="K206" s="4">
        <v>24</v>
      </c>
    </row>
    <row r="207" spans="1:11" x14ac:dyDescent="0.3">
      <c r="A207" s="4">
        <v>206</v>
      </c>
      <c r="B207" t="s">
        <v>7</v>
      </c>
      <c r="C207" s="1">
        <v>45495</v>
      </c>
      <c r="D207" s="1"/>
      <c r="E207" t="s">
        <v>8</v>
      </c>
      <c r="F207" s="11">
        <f ca="1">IF(HR[[#This Row],[ Employee Status]]="exited",HR[[#This Row],[ExitDate]]-HR[[#This Row],[HireDate]],TODAY()-HR[[#This Row],[HireDate]])/365</f>
        <v>1.9589041095890412</v>
      </c>
      <c r="G207" s="4" t="str">
        <f>IF(HR[[#This Row],[ Employee Status]]="still working","",YEAR(HR[[#This Row],[ExitDate]]))</f>
        <v/>
      </c>
      <c r="H207" s="6">
        <v>13404</v>
      </c>
      <c r="I207" s="10">
        <v>3.34</v>
      </c>
      <c r="J207" s="10">
        <v>4.46</v>
      </c>
      <c r="K207" s="4">
        <v>5</v>
      </c>
    </row>
    <row r="208" spans="1:11" x14ac:dyDescent="0.3">
      <c r="A208" s="4">
        <v>207</v>
      </c>
      <c r="B208" t="s">
        <v>7</v>
      </c>
      <c r="C208" s="1">
        <v>45034</v>
      </c>
      <c r="D208" s="1"/>
      <c r="E208" t="s">
        <v>8</v>
      </c>
      <c r="F208" s="11">
        <f ca="1">IF(HR[[#This Row],[ Employee Status]]="exited",HR[[#This Row],[ExitDate]]-HR[[#This Row],[HireDate]],TODAY()-HR[[#This Row],[HireDate]])/365</f>
        <v>3.2219178082191782</v>
      </c>
      <c r="G208" s="4" t="str">
        <f>IF(HR[[#This Row],[ Employee Status]]="still working","",YEAR(HR[[#This Row],[ExitDate]]))</f>
        <v/>
      </c>
      <c r="H208" s="6">
        <v>4939</v>
      </c>
      <c r="I208" s="10">
        <v>3.59</v>
      </c>
      <c r="J208" s="10">
        <v>4.75</v>
      </c>
      <c r="K208" s="4">
        <v>28</v>
      </c>
    </row>
    <row r="209" spans="1:11" x14ac:dyDescent="0.3">
      <c r="A209" s="4">
        <v>208</v>
      </c>
      <c r="B209" t="s">
        <v>14</v>
      </c>
      <c r="C209" s="1">
        <v>43891</v>
      </c>
      <c r="D209" s="1"/>
      <c r="E209" t="s">
        <v>8</v>
      </c>
      <c r="F209" s="11">
        <f ca="1">IF(HR[[#This Row],[ Employee Status]]="exited",HR[[#This Row],[ExitDate]]-HR[[#This Row],[HireDate]],TODAY()-HR[[#This Row],[HireDate]])/365</f>
        <v>6.353424657534247</v>
      </c>
      <c r="G209" s="4" t="str">
        <f>IF(HR[[#This Row],[ Employee Status]]="still working","",YEAR(HR[[#This Row],[ExitDate]]))</f>
        <v/>
      </c>
      <c r="H209" s="6">
        <v>7293</v>
      </c>
      <c r="I209" s="10">
        <v>2.31</v>
      </c>
      <c r="J209" s="10">
        <v>3.34</v>
      </c>
      <c r="K209" s="4">
        <v>11</v>
      </c>
    </row>
    <row r="210" spans="1:11" x14ac:dyDescent="0.3">
      <c r="A210" s="4">
        <v>209</v>
      </c>
      <c r="B210" t="s">
        <v>7</v>
      </c>
      <c r="C210" s="1">
        <v>44008</v>
      </c>
      <c r="D210" s="1"/>
      <c r="E210" t="s">
        <v>8</v>
      </c>
      <c r="F210" s="11">
        <f ca="1">IF(HR[[#This Row],[ Employee Status]]="exited",HR[[#This Row],[ExitDate]]-HR[[#This Row],[HireDate]],TODAY()-HR[[#This Row],[HireDate]])/365</f>
        <v>6.0328767123287674</v>
      </c>
      <c r="G210" s="4" t="str">
        <f>IF(HR[[#This Row],[ Employee Status]]="still working","",YEAR(HR[[#This Row],[ExitDate]]))</f>
        <v/>
      </c>
      <c r="H210" s="6">
        <v>5289</v>
      </c>
      <c r="I210" s="10">
        <v>4.8600000000000003</v>
      </c>
      <c r="J210" s="10">
        <v>3.56</v>
      </c>
      <c r="K210" s="4">
        <v>24</v>
      </c>
    </row>
    <row r="211" spans="1:11" x14ac:dyDescent="0.3">
      <c r="A211" s="4">
        <v>210</v>
      </c>
      <c r="B211" t="s">
        <v>14</v>
      </c>
      <c r="C211" s="1">
        <v>44440</v>
      </c>
      <c r="D211" s="1"/>
      <c r="E211" t="s">
        <v>8</v>
      </c>
      <c r="F211" s="11">
        <f ca="1">IF(HR[[#This Row],[ Employee Status]]="exited",HR[[#This Row],[ExitDate]]-HR[[#This Row],[HireDate]],TODAY()-HR[[#This Row],[HireDate]])/365</f>
        <v>4.8493150684931505</v>
      </c>
      <c r="G211" s="4" t="str">
        <f>IF(HR[[#This Row],[ Employee Status]]="still working","",YEAR(HR[[#This Row],[ExitDate]]))</f>
        <v/>
      </c>
      <c r="H211" s="6">
        <v>6249</v>
      </c>
      <c r="I211" s="10">
        <v>2.38</v>
      </c>
      <c r="J211" s="10">
        <v>1.53</v>
      </c>
      <c r="K211" s="4">
        <v>19</v>
      </c>
    </row>
    <row r="212" spans="1:11" x14ac:dyDescent="0.3">
      <c r="A212" s="4">
        <v>211</v>
      </c>
      <c r="B212" t="s">
        <v>10</v>
      </c>
      <c r="C212" s="1">
        <v>45214</v>
      </c>
      <c r="D212" s="1"/>
      <c r="E212" t="s">
        <v>8</v>
      </c>
      <c r="F212" s="11">
        <f ca="1">IF(HR[[#This Row],[ Employee Status]]="exited",HR[[#This Row],[ExitDate]]-HR[[#This Row],[HireDate]],TODAY()-HR[[#This Row],[HireDate]])/365</f>
        <v>2.7287671232876711</v>
      </c>
      <c r="G212" s="4" t="str">
        <f>IF(HR[[#This Row],[ Employee Status]]="still working","",YEAR(HR[[#This Row],[ExitDate]]))</f>
        <v/>
      </c>
      <c r="H212" s="6">
        <v>3891</v>
      </c>
      <c r="I212" s="10">
        <v>2.2799999999999998</v>
      </c>
      <c r="J212" s="10">
        <v>3.69</v>
      </c>
      <c r="K212" s="4">
        <v>5</v>
      </c>
    </row>
    <row r="213" spans="1:11" x14ac:dyDescent="0.3">
      <c r="A213" s="4">
        <v>212</v>
      </c>
      <c r="B213" t="s">
        <v>11</v>
      </c>
      <c r="C213" s="1">
        <v>43481</v>
      </c>
      <c r="D213" s="1">
        <v>44136</v>
      </c>
      <c r="E213" t="s">
        <v>12</v>
      </c>
      <c r="F213" s="11">
        <f ca="1">IF(HR[[#This Row],[ Employee Status]]="exited",HR[[#This Row],[ExitDate]]-HR[[#This Row],[HireDate]],TODAY()-HR[[#This Row],[HireDate]])/365</f>
        <v>1.7945205479452055</v>
      </c>
      <c r="G213" s="4">
        <f>IF(HR[[#This Row],[ Employee Status]]="still working","",YEAR(HR[[#This Row],[ExitDate]]))</f>
        <v>2020</v>
      </c>
      <c r="H213" s="6">
        <v>4198</v>
      </c>
      <c r="I213" s="10">
        <v>4.83</v>
      </c>
      <c r="J213" s="10">
        <v>3.73</v>
      </c>
      <c r="K213" s="4">
        <v>17</v>
      </c>
    </row>
    <row r="214" spans="1:11" x14ac:dyDescent="0.3">
      <c r="A214" s="4">
        <v>213</v>
      </c>
      <c r="B214" t="s">
        <v>10</v>
      </c>
      <c r="C214" s="1">
        <v>44865</v>
      </c>
      <c r="D214" s="1"/>
      <c r="E214" t="s">
        <v>8</v>
      </c>
      <c r="F214" s="11">
        <f ca="1">IF(HR[[#This Row],[ Employee Status]]="exited",HR[[#This Row],[ExitDate]]-HR[[#This Row],[HireDate]],TODAY()-HR[[#This Row],[HireDate]])/365</f>
        <v>3.6849315068493151</v>
      </c>
      <c r="G214" s="4" t="str">
        <f>IF(HR[[#This Row],[ Employee Status]]="still working","",YEAR(HR[[#This Row],[ExitDate]]))</f>
        <v/>
      </c>
      <c r="H214" s="6">
        <v>6719</v>
      </c>
      <c r="I214" s="10">
        <v>2.34</v>
      </c>
      <c r="J214" s="10">
        <v>4.18</v>
      </c>
      <c r="K214" s="4">
        <v>3</v>
      </c>
    </row>
    <row r="215" spans="1:11" x14ac:dyDescent="0.3">
      <c r="A215" s="4">
        <v>214</v>
      </c>
      <c r="B215" t="s">
        <v>14</v>
      </c>
      <c r="C215" s="1">
        <v>43782</v>
      </c>
      <c r="D215" s="1"/>
      <c r="E215" t="s">
        <v>8</v>
      </c>
      <c r="F215" s="11">
        <f ca="1">IF(HR[[#This Row],[ Employee Status]]="exited",HR[[#This Row],[ExitDate]]-HR[[#This Row],[HireDate]],TODAY()-HR[[#This Row],[HireDate]])/365</f>
        <v>6.6520547945205477</v>
      </c>
      <c r="G215" s="4" t="str">
        <f>IF(HR[[#This Row],[ Employee Status]]="still working","",YEAR(HR[[#This Row],[ExitDate]]))</f>
        <v/>
      </c>
      <c r="H215" s="6">
        <v>6124</v>
      </c>
      <c r="I215" s="10">
        <v>3.05</v>
      </c>
      <c r="J215" s="10">
        <v>1.64</v>
      </c>
      <c r="K215" s="4">
        <v>5</v>
      </c>
    </row>
    <row r="216" spans="1:11" x14ac:dyDescent="0.3">
      <c r="A216" s="4">
        <v>215</v>
      </c>
      <c r="B216" t="s">
        <v>13</v>
      </c>
      <c r="C216" s="1">
        <v>44914</v>
      </c>
      <c r="D216" s="1"/>
      <c r="E216" t="s">
        <v>8</v>
      </c>
      <c r="F216" s="11">
        <f ca="1">IF(HR[[#This Row],[ Employee Status]]="exited",HR[[#This Row],[ExitDate]]-HR[[#This Row],[HireDate]],TODAY()-HR[[#This Row],[HireDate]])/365</f>
        <v>3.5506849315068494</v>
      </c>
      <c r="G216" s="4" t="str">
        <f>IF(HR[[#This Row],[ Employee Status]]="still working","",YEAR(HR[[#This Row],[ExitDate]]))</f>
        <v/>
      </c>
      <c r="H216" s="6">
        <v>10848</v>
      </c>
      <c r="I216" s="10">
        <v>2.27</v>
      </c>
      <c r="J216" s="10">
        <v>2.15</v>
      </c>
      <c r="K216" s="4">
        <v>10</v>
      </c>
    </row>
    <row r="217" spans="1:11" x14ac:dyDescent="0.3">
      <c r="A217" s="4">
        <v>216</v>
      </c>
      <c r="B217" t="s">
        <v>7</v>
      </c>
      <c r="C217" s="1">
        <v>44759</v>
      </c>
      <c r="D217" s="1">
        <v>45416</v>
      </c>
      <c r="E217" t="s">
        <v>12</v>
      </c>
      <c r="F217" s="11">
        <f ca="1">IF(HR[[#This Row],[ Employee Status]]="exited",HR[[#This Row],[ExitDate]]-HR[[#This Row],[HireDate]],TODAY()-HR[[#This Row],[HireDate]])/365</f>
        <v>1.8</v>
      </c>
      <c r="G217" s="4">
        <f>IF(HR[[#This Row],[ Employee Status]]="still working","",YEAR(HR[[#This Row],[ExitDate]]))</f>
        <v>2024</v>
      </c>
      <c r="H217" s="6">
        <v>6173</v>
      </c>
      <c r="I217" s="10">
        <v>4.42</v>
      </c>
      <c r="J217" s="10">
        <v>4.05</v>
      </c>
      <c r="K217" s="4">
        <v>8</v>
      </c>
    </row>
    <row r="218" spans="1:11" x14ac:dyDescent="0.3">
      <c r="A218" s="4">
        <v>217</v>
      </c>
      <c r="B218" t="s">
        <v>7</v>
      </c>
      <c r="C218" s="1">
        <v>45577</v>
      </c>
      <c r="D218" s="1"/>
      <c r="E218" t="s">
        <v>8</v>
      </c>
      <c r="F218" s="11">
        <f ca="1">IF(HR[[#This Row],[ Employee Status]]="exited",HR[[#This Row],[ExitDate]]-HR[[#This Row],[HireDate]],TODAY()-HR[[#This Row],[HireDate]])/365</f>
        <v>1.7342465753424658</v>
      </c>
      <c r="G218" s="4" t="str">
        <f>IF(HR[[#This Row],[ Employee Status]]="still working","",YEAR(HR[[#This Row],[ExitDate]]))</f>
        <v/>
      </c>
      <c r="H218" s="6">
        <v>8450</v>
      </c>
      <c r="I218" s="10">
        <v>3.95</v>
      </c>
      <c r="J218" s="10">
        <v>2.31</v>
      </c>
      <c r="K218" s="4">
        <v>0</v>
      </c>
    </row>
    <row r="219" spans="1:11" x14ac:dyDescent="0.3">
      <c r="A219" s="4">
        <v>218</v>
      </c>
      <c r="B219" t="s">
        <v>7</v>
      </c>
      <c r="C219" s="1">
        <v>44298</v>
      </c>
      <c r="D219" s="1"/>
      <c r="E219" t="s">
        <v>8</v>
      </c>
      <c r="F219" s="11">
        <f ca="1">IF(HR[[#This Row],[ Employee Status]]="exited",HR[[#This Row],[ExitDate]]-HR[[#This Row],[HireDate]],TODAY()-HR[[#This Row],[HireDate]])/365</f>
        <v>5.2383561643835614</v>
      </c>
      <c r="G219" s="4" t="str">
        <f>IF(HR[[#This Row],[ Employee Status]]="still working","",YEAR(HR[[#This Row],[ExitDate]]))</f>
        <v/>
      </c>
      <c r="H219" s="6">
        <v>5875</v>
      </c>
      <c r="I219" s="10">
        <v>3.64</v>
      </c>
      <c r="J219" s="10">
        <v>2.78</v>
      </c>
      <c r="K219" s="4">
        <v>5</v>
      </c>
    </row>
    <row r="220" spans="1:11" x14ac:dyDescent="0.3">
      <c r="A220" s="4">
        <v>219</v>
      </c>
      <c r="B220" t="s">
        <v>14</v>
      </c>
      <c r="C220" s="1">
        <v>44406</v>
      </c>
      <c r="D220" s="1"/>
      <c r="E220" t="s">
        <v>8</v>
      </c>
      <c r="F220" s="11">
        <f ca="1">IF(HR[[#This Row],[ Employee Status]]="exited",HR[[#This Row],[ExitDate]]-HR[[#This Row],[HireDate]],TODAY()-HR[[#This Row],[HireDate]])/365</f>
        <v>4.9424657534246572</v>
      </c>
      <c r="G220" s="4" t="str">
        <f>IF(HR[[#This Row],[ Employee Status]]="still working","",YEAR(HR[[#This Row],[ExitDate]]))</f>
        <v/>
      </c>
      <c r="H220" s="6">
        <v>14207</v>
      </c>
      <c r="I220" s="10">
        <v>3.39</v>
      </c>
      <c r="J220" s="10">
        <v>2.52</v>
      </c>
      <c r="K220" s="4">
        <v>25</v>
      </c>
    </row>
    <row r="221" spans="1:11" x14ac:dyDescent="0.3">
      <c r="A221" s="4">
        <v>220</v>
      </c>
      <c r="B221" t="s">
        <v>10</v>
      </c>
      <c r="C221" s="1">
        <v>45244</v>
      </c>
      <c r="D221" s="1">
        <v>46366</v>
      </c>
      <c r="E221" t="s">
        <v>12</v>
      </c>
      <c r="F221" s="11">
        <f ca="1">IF(HR[[#This Row],[ Employee Status]]="exited",HR[[#This Row],[ExitDate]]-HR[[#This Row],[HireDate]],TODAY()-HR[[#This Row],[HireDate]])/365</f>
        <v>3.0739726027397261</v>
      </c>
      <c r="G221" s="4">
        <f>IF(HR[[#This Row],[ Employee Status]]="still working","",YEAR(HR[[#This Row],[ExitDate]]))</f>
        <v>2026</v>
      </c>
      <c r="H221" s="6">
        <v>13693</v>
      </c>
      <c r="I221" s="10">
        <v>2.33</v>
      </c>
      <c r="J221" s="10">
        <v>1.6</v>
      </c>
      <c r="K221" s="4">
        <v>15</v>
      </c>
    </row>
    <row r="222" spans="1:11" x14ac:dyDescent="0.3">
      <c r="A222" s="4">
        <v>221</v>
      </c>
      <c r="B222" t="s">
        <v>9</v>
      </c>
      <c r="C222" s="1">
        <v>44728</v>
      </c>
      <c r="D222" s="1"/>
      <c r="E222" t="s">
        <v>8</v>
      </c>
      <c r="F222" s="11">
        <f ca="1">IF(HR[[#This Row],[ Employee Status]]="exited",HR[[#This Row],[ExitDate]]-HR[[#This Row],[HireDate]],TODAY()-HR[[#This Row],[HireDate]])/365</f>
        <v>4.0602739726027401</v>
      </c>
      <c r="G222" s="4" t="str">
        <f>IF(HR[[#This Row],[ Employee Status]]="still working","",YEAR(HR[[#This Row],[ExitDate]]))</f>
        <v/>
      </c>
      <c r="H222" s="6">
        <v>14022</v>
      </c>
      <c r="I222" s="10">
        <v>4.24</v>
      </c>
      <c r="J222" s="10">
        <v>3.86</v>
      </c>
      <c r="K222" s="4">
        <v>10</v>
      </c>
    </row>
    <row r="223" spans="1:11" x14ac:dyDescent="0.3">
      <c r="A223" s="4">
        <v>222</v>
      </c>
      <c r="B223" t="s">
        <v>14</v>
      </c>
      <c r="C223" s="1">
        <v>43967</v>
      </c>
      <c r="D223" s="1"/>
      <c r="E223" t="s">
        <v>8</v>
      </c>
      <c r="F223" s="11">
        <f ca="1">IF(HR[[#This Row],[ Employee Status]]="exited",HR[[#This Row],[ExitDate]]-HR[[#This Row],[HireDate]],TODAY()-HR[[#This Row],[HireDate]])/365</f>
        <v>6.1452054794520548</v>
      </c>
      <c r="G223" s="4" t="str">
        <f>IF(HR[[#This Row],[ Employee Status]]="still working","",YEAR(HR[[#This Row],[ExitDate]]))</f>
        <v/>
      </c>
      <c r="H223" s="6">
        <v>12206</v>
      </c>
      <c r="I223" s="10">
        <v>4.8600000000000003</v>
      </c>
      <c r="J223" s="10">
        <v>3.62</v>
      </c>
      <c r="K223" s="4">
        <v>18</v>
      </c>
    </row>
    <row r="224" spans="1:11" x14ac:dyDescent="0.3">
      <c r="A224" s="4">
        <v>223</v>
      </c>
      <c r="B224" t="s">
        <v>7</v>
      </c>
      <c r="C224" s="1">
        <v>43465</v>
      </c>
      <c r="D224" s="1"/>
      <c r="E224" t="s">
        <v>8</v>
      </c>
      <c r="F224" s="11">
        <f ca="1">IF(HR[[#This Row],[ Employee Status]]="exited",HR[[#This Row],[ExitDate]]-HR[[#This Row],[HireDate]],TODAY()-HR[[#This Row],[HireDate]])/365</f>
        <v>7.5205479452054798</v>
      </c>
      <c r="G224" s="4" t="str">
        <f>IF(HR[[#This Row],[ Employee Status]]="still working","",YEAR(HR[[#This Row],[ExitDate]]))</f>
        <v/>
      </c>
      <c r="H224" s="6">
        <v>3140</v>
      </c>
      <c r="I224" s="10">
        <v>3.46</v>
      </c>
      <c r="J224" s="10">
        <v>2.0299999999999998</v>
      </c>
      <c r="K224" s="4">
        <v>19</v>
      </c>
    </row>
    <row r="225" spans="1:11" x14ac:dyDescent="0.3">
      <c r="A225" s="4">
        <v>224</v>
      </c>
      <c r="B225" t="s">
        <v>7</v>
      </c>
      <c r="C225" s="1">
        <v>44333</v>
      </c>
      <c r="D225" s="1"/>
      <c r="E225" t="s">
        <v>8</v>
      </c>
      <c r="F225" s="11">
        <f ca="1">IF(HR[[#This Row],[ Employee Status]]="exited",HR[[#This Row],[ExitDate]]-HR[[#This Row],[HireDate]],TODAY()-HR[[#This Row],[HireDate]])/365</f>
        <v>5.1424657534246574</v>
      </c>
      <c r="G225" s="4" t="str">
        <f>IF(HR[[#This Row],[ Employee Status]]="still working","",YEAR(HR[[#This Row],[ExitDate]]))</f>
        <v/>
      </c>
      <c r="H225" s="6">
        <v>9894</v>
      </c>
      <c r="I225" s="10">
        <v>2.27</v>
      </c>
      <c r="J225" s="10">
        <v>3.87</v>
      </c>
      <c r="K225" s="4">
        <v>1</v>
      </c>
    </row>
    <row r="226" spans="1:11" x14ac:dyDescent="0.3">
      <c r="A226" s="4">
        <v>225</v>
      </c>
      <c r="B226" t="s">
        <v>9</v>
      </c>
      <c r="C226" s="1">
        <v>43836</v>
      </c>
      <c r="D226" s="1"/>
      <c r="E226" t="s">
        <v>8</v>
      </c>
      <c r="F226" s="11">
        <f ca="1">IF(HR[[#This Row],[ Employee Status]]="exited",HR[[#This Row],[ExitDate]]-HR[[#This Row],[HireDate]],TODAY()-HR[[#This Row],[HireDate]])/365</f>
        <v>6.5041095890410956</v>
      </c>
      <c r="G226" s="4" t="str">
        <f>IF(HR[[#This Row],[ Employee Status]]="still working","",YEAR(HR[[#This Row],[ExitDate]]))</f>
        <v/>
      </c>
      <c r="H226" s="6">
        <v>5137</v>
      </c>
      <c r="I226" s="10">
        <v>4.04</v>
      </c>
      <c r="J226" s="10">
        <v>1.73</v>
      </c>
      <c r="K226" s="4">
        <v>12</v>
      </c>
    </row>
    <row r="227" spans="1:11" x14ac:dyDescent="0.3">
      <c r="A227" s="4">
        <v>226</v>
      </c>
      <c r="B227" t="s">
        <v>13</v>
      </c>
      <c r="C227" s="1">
        <v>45349</v>
      </c>
      <c r="D227" s="1"/>
      <c r="E227" t="s">
        <v>8</v>
      </c>
      <c r="F227" s="11">
        <f ca="1">IF(HR[[#This Row],[ Employee Status]]="exited",HR[[#This Row],[ExitDate]]-HR[[#This Row],[HireDate]],TODAY()-HR[[#This Row],[HireDate]])/365</f>
        <v>2.3589041095890413</v>
      </c>
      <c r="G227" s="4" t="str">
        <f>IF(HR[[#This Row],[ Employee Status]]="still working","",YEAR(HR[[#This Row],[ExitDate]]))</f>
        <v/>
      </c>
      <c r="H227" s="6">
        <v>11105</v>
      </c>
      <c r="I227" s="10">
        <v>3.27</v>
      </c>
      <c r="J227" s="10">
        <v>1.35</v>
      </c>
      <c r="K227" s="4">
        <v>21</v>
      </c>
    </row>
    <row r="228" spans="1:11" x14ac:dyDescent="0.3">
      <c r="A228" s="4">
        <v>227</v>
      </c>
      <c r="B228" t="s">
        <v>7</v>
      </c>
      <c r="C228" s="1">
        <v>43763</v>
      </c>
      <c r="D228" s="1"/>
      <c r="E228" t="s">
        <v>8</v>
      </c>
      <c r="F228" s="11">
        <f ca="1">IF(HR[[#This Row],[ Employee Status]]="exited",HR[[#This Row],[ExitDate]]-HR[[#This Row],[HireDate]],TODAY()-HR[[#This Row],[HireDate]])/365</f>
        <v>6.7041095890410958</v>
      </c>
      <c r="G228" s="4" t="str">
        <f>IF(HR[[#This Row],[ Employee Status]]="still working","",YEAR(HR[[#This Row],[ExitDate]]))</f>
        <v/>
      </c>
      <c r="H228" s="6">
        <v>8960</v>
      </c>
      <c r="I228" s="10">
        <v>3.55</v>
      </c>
      <c r="J228" s="10">
        <v>3.37</v>
      </c>
      <c r="K228" s="4">
        <v>25</v>
      </c>
    </row>
    <row r="229" spans="1:11" x14ac:dyDescent="0.3">
      <c r="A229" s="4">
        <v>228</v>
      </c>
      <c r="B229" t="s">
        <v>10</v>
      </c>
      <c r="C229" s="1">
        <v>45313</v>
      </c>
      <c r="D229" s="1"/>
      <c r="E229" t="s">
        <v>8</v>
      </c>
      <c r="F229" s="11">
        <f ca="1">IF(HR[[#This Row],[ Employee Status]]="exited",HR[[#This Row],[ExitDate]]-HR[[#This Row],[HireDate]],TODAY()-HR[[#This Row],[HireDate]])/365</f>
        <v>2.4575342465753423</v>
      </c>
      <c r="G229" s="4" t="str">
        <f>IF(HR[[#This Row],[ Employee Status]]="still working","",YEAR(HR[[#This Row],[ExitDate]]))</f>
        <v/>
      </c>
      <c r="H229" s="6">
        <v>13617</v>
      </c>
      <c r="I229" s="10">
        <v>4.3099999999999996</v>
      </c>
      <c r="J229" s="10">
        <v>3.23</v>
      </c>
      <c r="K229" s="4">
        <v>26</v>
      </c>
    </row>
    <row r="230" spans="1:11" x14ac:dyDescent="0.3">
      <c r="A230" s="4">
        <v>229</v>
      </c>
      <c r="B230" t="s">
        <v>10</v>
      </c>
      <c r="C230" s="1">
        <v>43501</v>
      </c>
      <c r="D230" s="1">
        <v>43796</v>
      </c>
      <c r="E230" t="s">
        <v>12</v>
      </c>
      <c r="F230" s="11">
        <f ca="1">IF(HR[[#This Row],[ Employee Status]]="exited",HR[[#This Row],[ExitDate]]-HR[[#This Row],[HireDate]],TODAY()-HR[[#This Row],[HireDate]])/365</f>
        <v>0.80821917808219179</v>
      </c>
      <c r="G230" s="4">
        <f>IF(HR[[#This Row],[ Employee Status]]="still working","",YEAR(HR[[#This Row],[ExitDate]]))</f>
        <v>2019</v>
      </c>
      <c r="H230" s="6">
        <v>9807</v>
      </c>
      <c r="I230" s="10">
        <v>4</v>
      </c>
      <c r="J230" s="10">
        <v>1.38</v>
      </c>
      <c r="K230" s="4">
        <v>3</v>
      </c>
    </row>
    <row r="231" spans="1:11" x14ac:dyDescent="0.3">
      <c r="A231" s="4">
        <v>230</v>
      </c>
      <c r="B231" t="s">
        <v>10</v>
      </c>
      <c r="C231" s="1">
        <v>43475</v>
      </c>
      <c r="D231" s="1"/>
      <c r="E231" t="s">
        <v>8</v>
      </c>
      <c r="F231" s="11">
        <f ca="1">IF(HR[[#This Row],[ Employee Status]]="exited",HR[[#This Row],[ExitDate]]-HR[[#This Row],[HireDate]],TODAY()-HR[[#This Row],[HireDate]])/365</f>
        <v>7.493150684931507</v>
      </c>
      <c r="G231" s="4" t="str">
        <f>IF(HR[[#This Row],[ Employee Status]]="still working","",YEAR(HR[[#This Row],[ExitDate]]))</f>
        <v/>
      </c>
      <c r="H231" s="6">
        <v>12776</v>
      </c>
      <c r="I231" s="10">
        <v>2.65</v>
      </c>
      <c r="J231" s="10">
        <v>1.38</v>
      </c>
      <c r="K231" s="4">
        <v>15</v>
      </c>
    </row>
    <row r="232" spans="1:11" x14ac:dyDescent="0.3">
      <c r="A232" s="4">
        <v>231</v>
      </c>
      <c r="B232" t="s">
        <v>14</v>
      </c>
      <c r="C232" s="1">
        <v>43780</v>
      </c>
      <c r="D232" s="1"/>
      <c r="E232" t="s">
        <v>8</v>
      </c>
      <c r="F232" s="11">
        <f ca="1">IF(HR[[#This Row],[ Employee Status]]="exited",HR[[#This Row],[ExitDate]]-HR[[#This Row],[HireDate]],TODAY()-HR[[#This Row],[HireDate]])/365</f>
        <v>6.6575342465753424</v>
      </c>
      <c r="G232" s="4" t="str">
        <f>IF(HR[[#This Row],[ Employee Status]]="still working","",YEAR(HR[[#This Row],[ExitDate]]))</f>
        <v/>
      </c>
      <c r="H232" s="6">
        <v>3987</v>
      </c>
      <c r="I232" s="10">
        <v>2.77</v>
      </c>
      <c r="J232" s="10">
        <v>3.53</v>
      </c>
      <c r="K232" s="4">
        <v>24</v>
      </c>
    </row>
    <row r="233" spans="1:11" x14ac:dyDescent="0.3">
      <c r="A233" s="4">
        <v>232</v>
      </c>
      <c r="B233" t="s">
        <v>10</v>
      </c>
      <c r="C233" s="1">
        <v>44786</v>
      </c>
      <c r="D233" s="1"/>
      <c r="E233" t="s">
        <v>8</v>
      </c>
      <c r="F233" s="11">
        <f ca="1">IF(HR[[#This Row],[ Employee Status]]="exited",HR[[#This Row],[ExitDate]]-HR[[#This Row],[HireDate]],TODAY()-HR[[#This Row],[HireDate]])/365</f>
        <v>3.9013698630136986</v>
      </c>
      <c r="G233" s="4" t="str">
        <f>IF(HR[[#This Row],[ Employee Status]]="still working","",YEAR(HR[[#This Row],[ExitDate]]))</f>
        <v/>
      </c>
      <c r="H233" s="6">
        <v>4343</v>
      </c>
      <c r="I233" s="10">
        <v>3.21</v>
      </c>
      <c r="J233" s="10">
        <v>2.71</v>
      </c>
      <c r="K233" s="4">
        <v>6</v>
      </c>
    </row>
    <row r="234" spans="1:11" x14ac:dyDescent="0.3">
      <c r="A234" s="4">
        <v>233</v>
      </c>
      <c r="B234" t="s">
        <v>14</v>
      </c>
      <c r="C234" s="1">
        <v>43742</v>
      </c>
      <c r="D234" s="1"/>
      <c r="E234" t="s">
        <v>8</v>
      </c>
      <c r="F234" s="11">
        <f ca="1">IF(HR[[#This Row],[ Employee Status]]="exited",HR[[#This Row],[ExitDate]]-HR[[#This Row],[HireDate]],TODAY()-HR[[#This Row],[HireDate]])/365</f>
        <v>6.7616438356164386</v>
      </c>
      <c r="G234" s="4" t="str">
        <f>IF(HR[[#This Row],[ Employee Status]]="still working","",YEAR(HR[[#This Row],[ExitDate]]))</f>
        <v/>
      </c>
      <c r="H234" s="6">
        <v>14543</v>
      </c>
      <c r="I234" s="10">
        <v>4.17</v>
      </c>
      <c r="J234" s="10">
        <v>3.31</v>
      </c>
      <c r="K234" s="4">
        <v>6</v>
      </c>
    </row>
    <row r="235" spans="1:11" x14ac:dyDescent="0.3">
      <c r="A235" s="4">
        <v>234</v>
      </c>
      <c r="B235" t="s">
        <v>9</v>
      </c>
      <c r="C235" s="1">
        <v>43829</v>
      </c>
      <c r="D235" s="1">
        <v>44895</v>
      </c>
      <c r="E235" t="s">
        <v>12</v>
      </c>
      <c r="F235" s="11">
        <f ca="1">IF(HR[[#This Row],[ Employee Status]]="exited",HR[[#This Row],[ExitDate]]-HR[[#This Row],[HireDate]],TODAY()-HR[[#This Row],[HireDate]])/365</f>
        <v>2.9205479452054797</v>
      </c>
      <c r="G235" s="4">
        <f>IF(HR[[#This Row],[ Employee Status]]="still working","",YEAR(HR[[#This Row],[ExitDate]]))</f>
        <v>2022</v>
      </c>
      <c r="H235" s="6">
        <v>10843</v>
      </c>
      <c r="I235" s="10">
        <v>2.68</v>
      </c>
      <c r="J235" s="10">
        <v>2.42</v>
      </c>
      <c r="K235" s="4">
        <v>3</v>
      </c>
    </row>
    <row r="236" spans="1:11" x14ac:dyDescent="0.3">
      <c r="A236" s="4">
        <v>235</v>
      </c>
      <c r="B236" t="s">
        <v>9</v>
      </c>
      <c r="C236" s="1">
        <v>43710</v>
      </c>
      <c r="D236" s="1"/>
      <c r="E236" t="s">
        <v>8</v>
      </c>
      <c r="F236" s="11">
        <f ca="1">IF(HR[[#This Row],[ Employee Status]]="exited",HR[[#This Row],[ExitDate]]-HR[[#This Row],[HireDate]],TODAY()-HR[[#This Row],[HireDate]])/365</f>
        <v>6.8493150684931505</v>
      </c>
      <c r="G236" s="4" t="str">
        <f>IF(HR[[#This Row],[ Employee Status]]="still working","",YEAR(HR[[#This Row],[ExitDate]]))</f>
        <v/>
      </c>
      <c r="H236" s="6">
        <v>6713</v>
      </c>
      <c r="I236" s="10">
        <v>3.92</v>
      </c>
      <c r="J236" s="10">
        <v>2.08</v>
      </c>
      <c r="K236" s="4">
        <v>7</v>
      </c>
    </row>
    <row r="237" spans="1:11" x14ac:dyDescent="0.3">
      <c r="A237" s="4">
        <v>236</v>
      </c>
      <c r="B237" t="s">
        <v>11</v>
      </c>
      <c r="C237" s="1">
        <v>45333</v>
      </c>
      <c r="D237" s="1"/>
      <c r="E237" t="s">
        <v>8</v>
      </c>
      <c r="F237" s="11">
        <f ca="1">IF(HR[[#This Row],[ Employee Status]]="exited",HR[[#This Row],[ExitDate]]-HR[[#This Row],[HireDate]],TODAY()-HR[[#This Row],[HireDate]])/365</f>
        <v>2.4027397260273973</v>
      </c>
      <c r="G237" s="4" t="str">
        <f>IF(HR[[#This Row],[ Employee Status]]="still working","",YEAR(HR[[#This Row],[ExitDate]]))</f>
        <v/>
      </c>
      <c r="H237" s="6">
        <v>10979</v>
      </c>
      <c r="I237" s="10">
        <v>4.01</v>
      </c>
      <c r="J237" s="10">
        <v>4.9800000000000004</v>
      </c>
      <c r="K237" s="4">
        <v>1</v>
      </c>
    </row>
    <row r="238" spans="1:11" x14ac:dyDescent="0.3">
      <c r="A238" s="4">
        <v>237</v>
      </c>
      <c r="B238" t="s">
        <v>14</v>
      </c>
      <c r="C238" s="1">
        <v>44869</v>
      </c>
      <c r="D238" s="1"/>
      <c r="E238" t="s">
        <v>8</v>
      </c>
      <c r="F238" s="11">
        <f ca="1">IF(HR[[#This Row],[ Employee Status]]="exited",HR[[#This Row],[ExitDate]]-HR[[#This Row],[HireDate]],TODAY()-HR[[#This Row],[HireDate]])/365</f>
        <v>3.6739726027397261</v>
      </c>
      <c r="G238" s="4" t="str">
        <f>IF(HR[[#This Row],[ Employee Status]]="still working","",YEAR(HR[[#This Row],[ExitDate]]))</f>
        <v/>
      </c>
      <c r="H238" s="6">
        <v>13593</v>
      </c>
      <c r="I238" s="10">
        <v>3.74</v>
      </c>
      <c r="J238" s="10">
        <v>1.36</v>
      </c>
      <c r="K238" s="4">
        <v>4</v>
      </c>
    </row>
    <row r="239" spans="1:11" x14ac:dyDescent="0.3">
      <c r="A239" s="4">
        <v>238</v>
      </c>
      <c r="B239" t="s">
        <v>13</v>
      </c>
      <c r="C239" s="1">
        <v>44100</v>
      </c>
      <c r="D239" s="1"/>
      <c r="E239" t="s">
        <v>8</v>
      </c>
      <c r="F239" s="11">
        <f ca="1">IF(HR[[#This Row],[ Employee Status]]="exited",HR[[#This Row],[ExitDate]]-HR[[#This Row],[HireDate]],TODAY()-HR[[#This Row],[HireDate]])/365</f>
        <v>5.7808219178082192</v>
      </c>
      <c r="G239" s="4" t="str">
        <f>IF(HR[[#This Row],[ Employee Status]]="still working","",YEAR(HR[[#This Row],[ExitDate]]))</f>
        <v/>
      </c>
      <c r="H239" s="6">
        <v>3207</v>
      </c>
      <c r="I239" s="10">
        <v>4.47</v>
      </c>
      <c r="J239" s="10">
        <v>1</v>
      </c>
      <c r="K239" s="4">
        <v>15</v>
      </c>
    </row>
    <row r="240" spans="1:11" x14ac:dyDescent="0.3">
      <c r="A240" s="4">
        <v>239</v>
      </c>
      <c r="B240" t="s">
        <v>9</v>
      </c>
      <c r="C240" s="1">
        <v>45242</v>
      </c>
      <c r="D240" s="1"/>
      <c r="E240" t="s">
        <v>8</v>
      </c>
      <c r="F240" s="11">
        <f ca="1">IF(HR[[#This Row],[ Employee Status]]="exited",HR[[#This Row],[ExitDate]]-HR[[#This Row],[HireDate]],TODAY()-HR[[#This Row],[HireDate]])/365</f>
        <v>2.6520547945205482</v>
      </c>
      <c r="G240" s="4" t="str">
        <f>IF(HR[[#This Row],[ Employee Status]]="still working","",YEAR(HR[[#This Row],[ExitDate]]))</f>
        <v/>
      </c>
      <c r="H240" s="6">
        <v>13754</v>
      </c>
      <c r="I240" s="10">
        <v>3.2</v>
      </c>
      <c r="J240" s="10">
        <v>1.61</v>
      </c>
      <c r="K240" s="4">
        <v>4</v>
      </c>
    </row>
    <row r="241" spans="1:11" x14ac:dyDescent="0.3">
      <c r="A241" s="4">
        <v>240</v>
      </c>
      <c r="B241" t="s">
        <v>9</v>
      </c>
      <c r="C241" s="1">
        <v>43306</v>
      </c>
      <c r="D241" s="1"/>
      <c r="E241" t="s">
        <v>8</v>
      </c>
      <c r="F241" s="11">
        <f ca="1">IF(HR[[#This Row],[ Employee Status]]="exited",HR[[#This Row],[ExitDate]]-HR[[#This Row],[HireDate]],TODAY()-HR[[#This Row],[HireDate]])/365</f>
        <v>7.956164383561644</v>
      </c>
      <c r="G241" s="4" t="str">
        <f>IF(HR[[#This Row],[ Employee Status]]="still working","",YEAR(HR[[#This Row],[ExitDate]]))</f>
        <v/>
      </c>
      <c r="H241" s="6">
        <v>5368</v>
      </c>
      <c r="I241" s="10">
        <v>3.87</v>
      </c>
      <c r="J241" s="10">
        <v>1.36</v>
      </c>
      <c r="K241" s="4">
        <v>6</v>
      </c>
    </row>
    <row r="242" spans="1:11" x14ac:dyDescent="0.3">
      <c r="A242" s="4">
        <v>241</v>
      </c>
      <c r="B242" t="s">
        <v>7</v>
      </c>
      <c r="C242" s="1">
        <v>44605</v>
      </c>
      <c r="D242" s="1">
        <v>45847</v>
      </c>
      <c r="E242" t="s">
        <v>12</v>
      </c>
      <c r="F242" s="11">
        <f ca="1">IF(HR[[#This Row],[ Employee Status]]="exited",HR[[#This Row],[ExitDate]]-HR[[#This Row],[HireDate]],TODAY()-HR[[#This Row],[HireDate]])/365</f>
        <v>3.4027397260273973</v>
      </c>
      <c r="G242" s="4">
        <f>IF(HR[[#This Row],[ Employee Status]]="still working","",YEAR(HR[[#This Row],[ExitDate]]))</f>
        <v>2025</v>
      </c>
      <c r="H242" s="6">
        <v>14023</v>
      </c>
      <c r="I242" s="10">
        <v>2.19</v>
      </c>
      <c r="J242" s="10">
        <v>1.47</v>
      </c>
      <c r="K242" s="4">
        <v>22</v>
      </c>
    </row>
    <row r="243" spans="1:11" x14ac:dyDescent="0.3">
      <c r="A243" s="4">
        <v>242</v>
      </c>
      <c r="B243" t="s">
        <v>10</v>
      </c>
      <c r="C243" s="1">
        <v>44801</v>
      </c>
      <c r="D243" s="1"/>
      <c r="E243" t="s">
        <v>8</v>
      </c>
      <c r="F243" s="11">
        <f ca="1">IF(HR[[#This Row],[ Employee Status]]="exited",HR[[#This Row],[ExitDate]]-HR[[#This Row],[HireDate]],TODAY()-HR[[#This Row],[HireDate]])/365</f>
        <v>3.8602739726027395</v>
      </c>
      <c r="G243" s="4" t="str">
        <f>IF(HR[[#This Row],[ Employee Status]]="still working","",YEAR(HR[[#This Row],[ExitDate]]))</f>
        <v/>
      </c>
      <c r="H243" s="6">
        <v>5408</v>
      </c>
      <c r="I243" s="10">
        <v>3.66</v>
      </c>
      <c r="J243" s="10">
        <v>2.2200000000000002</v>
      </c>
      <c r="K243" s="4">
        <v>19</v>
      </c>
    </row>
    <row r="244" spans="1:11" x14ac:dyDescent="0.3">
      <c r="A244" s="4">
        <v>243</v>
      </c>
      <c r="B244" t="s">
        <v>10</v>
      </c>
      <c r="C244" s="1">
        <v>43170</v>
      </c>
      <c r="D244" s="1"/>
      <c r="E244" t="s">
        <v>8</v>
      </c>
      <c r="F244" s="11">
        <f ca="1">IF(HR[[#This Row],[ Employee Status]]="exited",HR[[#This Row],[ExitDate]]-HR[[#This Row],[HireDate]],TODAY()-HR[[#This Row],[HireDate]])/365</f>
        <v>8.3287671232876708</v>
      </c>
      <c r="G244" s="4" t="str">
        <f>IF(HR[[#This Row],[ Employee Status]]="still working","",YEAR(HR[[#This Row],[ExitDate]]))</f>
        <v/>
      </c>
      <c r="H244" s="6">
        <v>6267</v>
      </c>
      <c r="I244" s="10">
        <v>4.3600000000000003</v>
      </c>
      <c r="J244" s="10">
        <v>3.3</v>
      </c>
      <c r="K244" s="4">
        <v>27</v>
      </c>
    </row>
    <row r="245" spans="1:11" x14ac:dyDescent="0.3">
      <c r="A245" s="4">
        <v>244</v>
      </c>
      <c r="B245" t="s">
        <v>10</v>
      </c>
      <c r="C245" s="1">
        <v>45397</v>
      </c>
      <c r="D245" s="1">
        <v>46198</v>
      </c>
      <c r="E245" t="s">
        <v>12</v>
      </c>
      <c r="F245" s="11">
        <f ca="1">IF(HR[[#This Row],[ Employee Status]]="exited",HR[[#This Row],[ExitDate]]-HR[[#This Row],[HireDate]],TODAY()-HR[[#This Row],[HireDate]])/365</f>
        <v>2.1945205479452055</v>
      </c>
      <c r="G245" s="4">
        <f>IF(HR[[#This Row],[ Employee Status]]="still working","",YEAR(HR[[#This Row],[ExitDate]]))</f>
        <v>2026</v>
      </c>
      <c r="H245" s="6">
        <v>7107</v>
      </c>
      <c r="I245" s="10">
        <v>4.45</v>
      </c>
      <c r="J245" s="10">
        <v>2.52</v>
      </c>
      <c r="K245" s="4">
        <v>23</v>
      </c>
    </row>
    <row r="246" spans="1:11" x14ac:dyDescent="0.3">
      <c r="A246" s="4">
        <v>245</v>
      </c>
      <c r="B246" t="s">
        <v>11</v>
      </c>
      <c r="C246" s="1">
        <v>44520</v>
      </c>
      <c r="D246" s="1"/>
      <c r="E246" t="s">
        <v>8</v>
      </c>
      <c r="F246" s="11">
        <f ca="1">IF(HR[[#This Row],[ Employee Status]]="exited",HR[[#This Row],[ExitDate]]-HR[[#This Row],[HireDate]],TODAY()-HR[[#This Row],[HireDate]])/365</f>
        <v>4.6301369863013697</v>
      </c>
      <c r="G246" s="4" t="str">
        <f>IF(HR[[#This Row],[ Employee Status]]="still working","",YEAR(HR[[#This Row],[ExitDate]]))</f>
        <v/>
      </c>
      <c r="H246" s="6">
        <v>11325</v>
      </c>
      <c r="I246" s="10">
        <v>4.46</v>
      </c>
      <c r="J246" s="10">
        <v>2.29</v>
      </c>
      <c r="K246" s="4">
        <v>2</v>
      </c>
    </row>
    <row r="247" spans="1:11" x14ac:dyDescent="0.3">
      <c r="A247" s="4">
        <v>246</v>
      </c>
      <c r="B247" t="s">
        <v>10</v>
      </c>
      <c r="C247" s="1">
        <v>44139</v>
      </c>
      <c r="D247" s="1"/>
      <c r="E247" t="s">
        <v>8</v>
      </c>
      <c r="F247" s="11">
        <f ca="1">IF(HR[[#This Row],[ Employee Status]]="exited",HR[[#This Row],[ExitDate]]-HR[[#This Row],[HireDate]],TODAY()-HR[[#This Row],[HireDate]])/365</f>
        <v>5.6739726027397257</v>
      </c>
      <c r="G247" s="4" t="str">
        <f>IF(HR[[#This Row],[ Employee Status]]="still working","",YEAR(HR[[#This Row],[ExitDate]]))</f>
        <v/>
      </c>
      <c r="H247" s="6">
        <v>5978</v>
      </c>
      <c r="I247" s="10">
        <v>3.92</v>
      </c>
      <c r="J247" s="10">
        <v>4.29</v>
      </c>
      <c r="K247" s="4">
        <v>24</v>
      </c>
    </row>
    <row r="248" spans="1:11" x14ac:dyDescent="0.3">
      <c r="A248" s="4">
        <v>247</v>
      </c>
      <c r="B248" t="s">
        <v>13</v>
      </c>
      <c r="C248" s="1">
        <v>44449</v>
      </c>
      <c r="D248" s="1"/>
      <c r="E248" t="s">
        <v>8</v>
      </c>
      <c r="F248" s="11">
        <f ca="1">IF(HR[[#This Row],[ Employee Status]]="exited",HR[[#This Row],[ExitDate]]-HR[[#This Row],[HireDate]],TODAY()-HR[[#This Row],[HireDate]])/365</f>
        <v>4.8246575342465752</v>
      </c>
      <c r="G248" s="4" t="str">
        <f>IF(HR[[#This Row],[ Employee Status]]="still working","",YEAR(HR[[#This Row],[ExitDate]]))</f>
        <v/>
      </c>
      <c r="H248" s="6">
        <v>7259</v>
      </c>
      <c r="I248" s="10">
        <v>4.6900000000000004</v>
      </c>
      <c r="J248" s="10">
        <v>4.32</v>
      </c>
      <c r="K248" s="4">
        <v>19</v>
      </c>
    </row>
    <row r="249" spans="1:11" x14ac:dyDescent="0.3">
      <c r="A249" s="4">
        <v>248</v>
      </c>
      <c r="B249" t="s">
        <v>13</v>
      </c>
      <c r="C249" s="1">
        <v>44067</v>
      </c>
      <c r="D249" s="1"/>
      <c r="E249" t="s">
        <v>8</v>
      </c>
      <c r="F249" s="11">
        <f ca="1">IF(HR[[#This Row],[ Employee Status]]="exited",HR[[#This Row],[ExitDate]]-HR[[#This Row],[HireDate]],TODAY()-HR[[#This Row],[HireDate]])/365</f>
        <v>5.8712328767123285</v>
      </c>
      <c r="G249" s="4" t="str">
        <f>IF(HR[[#This Row],[ Employee Status]]="still working","",YEAR(HR[[#This Row],[ExitDate]]))</f>
        <v/>
      </c>
      <c r="H249" s="6">
        <v>10045</v>
      </c>
      <c r="I249" s="10">
        <v>2.2000000000000002</v>
      </c>
      <c r="J249" s="10">
        <v>1.1000000000000001</v>
      </c>
      <c r="K249" s="4">
        <v>24</v>
      </c>
    </row>
    <row r="250" spans="1:11" x14ac:dyDescent="0.3">
      <c r="A250" s="4">
        <v>249</v>
      </c>
      <c r="B250" t="s">
        <v>7</v>
      </c>
      <c r="C250" s="1">
        <v>43174</v>
      </c>
      <c r="D250" s="1"/>
      <c r="E250" t="s">
        <v>8</v>
      </c>
      <c r="F250" s="11">
        <f ca="1">IF(HR[[#This Row],[ Employee Status]]="exited",HR[[#This Row],[ExitDate]]-HR[[#This Row],[HireDate]],TODAY()-HR[[#This Row],[HireDate]])/365</f>
        <v>8.3178082191780813</v>
      </c>
      <c r="G250" s="4" t="str">
        <f>IF(HR[[#This Row],[ Employee Status]]="still working","",YEAR(HR[[#This Row],[ExitDate]]))</f>
        <v/>
      </c>
      <c r="H250" s="6">
        <v>10179</v>
      </c>
      <c r="I250" s="10">
        <v>2.94</v>
      </c>
      <c r="J250" s="10">
        <v>3.02</v>
      </c>
      <c r="K250" s="4">
        <v>17</v>
      </c>
    </row>
    <row r="251" spans="1:11" x14ac:dyDescent="0.3">
      <c r="A251" s="4">
        <v>250</v>
      </c>
      <c r="B251" t="s">
        <v>11</v>
      </c>
      <c r="C251" s="1">
        <v>43157</v>
      </c>
      <c r="D251" s="1"/>
      <c r="E251" t="s">
        <v>8</v>
      </c>
      <c r="F251" s="11">
        <f ca="1">IF(HR[[#This Row],[ Employee Status]]="exited",HR[[#This Row],[ExitDate]]-HR[[#This Row],[HireDate]],TODAY()-HR[[#This Row],[HireDate]])/365</f>
        <v>8.3643835616438356</v>
      </c>
      <c r="G251" s="4" t="str">
        <f>IF(HR[[#This Row],[ Employee Status]]="still working","",YEAR(HR[[#This Row],[ExitDate]]))</f>
        <v/>
      </c>
      <c r="H251" s="6">
        <v>5719</v>
      </c>
      <c r="I251" s="10">
        <v>3.95</v>
      </c>
      <c r="J251" s="10">
        <v>1.61</v>
      </c>
      <c r="K251" s="4">
        <v>18</v>
      </c>
    </row>
    <row r="252" spans="1:11" x14ac:dyDescent="0.3">
      <c r="A252" s="4">
        <v>251</v>
      </c>
      <c r="B252" t="s">
        <v>10</v>
      </c>
      <c r="C252" s="1">
        <v>43490</v>
      </c>
      <c r="D252" s="1"/>
      <c r="E252" t="s">
        <v>8</v>
      </c>
      <c r="F252" s="11">
        <f ca="1">IF(HR[[#This Row],[ Employee Status]]="exited",HR[[#This Row],[ExitDate]]-HR[[#This Row],[HireDate]],TODAY()-HR[[#This Row],[HireDate]])/365</f>
        <v>7.4520547945205475</v>
      </c>
      <c r="G252" s="4" t="str">
        <f>IF(HR[[#This Row],[ Employee Status]]="still working","",YEAR(HR[[#This Row],[ExitDate]]))</f>
        <v/>
      </c>
      <c r="H252" s="6">
        <v>9488</v>
      </c>
      <c r="I252" s="10">
        <v>2.17</v>
      </c>
      <c r="J252" s="10">
        <v>3.78</v>
      </c>
      <c r="K252" s="4">
        <v>8</v>
      </c>
    </row>
    <row r="253" spans="1:11" x14ac:dyDescent="0.3">
      <c r="A253" s="4">
        <v>252</v>
      </c>
      <c r="B253" t="s">
        <v>13</v>
      </c>
      <c r="C253" s="1">
        <v>43679</v>
      </c>
      <c r="D253" s="1"/>
      <c r="E253" t="s">
        <v>8</v>
      </c>
      <c r="F253" s="11">
        <f ca="1">IF(HR[[#This Row],[ Employee Status]]="exited",HR[[#This Row],[ExitDate]]-HR[[#This Row],[HireDate]],TODAY()-HR[[#This Row],[HireDate]])/365</f>
        <v>6.934246575342466</v>
      </c>
      <c r="G253" s="4" t="str">
        <f>IF(HR[[#This Row],[ Employee Status]]="still working","",YEAR(HR[[#This Row],[ExitDate]]))</f>
        <v/>
      </c>
      <c r="H253" s="6">
        <v>8448</v>
      </c>
      <c r="I253" s="10">
        <v>2.5299999999999998</v>
      </c>
      <c r="J253" s="10">
        <v>3.77</v>
      </c>
      <c r="K253" s="4">
        <v>0</v>
      </c>
    </row>
    <row r="254" spans="1:11" x14ac:dyDescent="0.3">
      <c r="A254" s="4">
        <v>253</v>
      </c>
      <c r="B254" t="s">
        <v>13</v>
      </c>
      <c r="C254" s="1">
        <v>44237</v>
      </c>
      <c r="D254" s="1"/>
      <c r="E254" t="s">
        <v>8</v>
      </c>
      <c r="F254" s="11">
        <f ca="1">IF(HR[[#This Row],[ Employee Status]]="exited",HR[[#This Row],[ExitDate]]-HR[[#This Row],[HireDate]],TODAY()-HR[[#This Row],[HireDate]])/365</f>
        <v>5.4054794520547942</v>
      </c>
      <c r="G254" s="4" t="str">
        <f>IF(HR[[#This Row],[ Employee Status]]="still working","",YEAR(HR[[#This Row],[ExitDate]]))</f>
        <v/>
      </c>
      <c r="H254" s="6">
        <v>13340</v>
      </c>
      <c r="I254" s="10">
        <v>3.87</v>
      </c>
      <c r="J254" s="10">
        <v>3.11</v>
      </c>
      <c r="K254" s="4">
        <v>6</v>
      </c>
    </row>
    <row r="255" spans="1:11" x14ac:dyDescent="0.3">
      <c r="A255" s="4">
        <v>254</v>
      </c>
      <c r="B255" t="s">
        <v>7</v>
      </c>
      <c r="C255" s="1">
        <v>44736</v>
      </c>
      <c r="D255" s="1"/>
      <c r="E255" t="s">
        <v>8</v>
      </c>
      <c r="F255" s="11">
        <f ca="1">IF(HR[[#This Row],[ Employee Status]]="exited",HR[[#This Row],[ExitDate]]-HR[[#This Row],[HireDate]],TODAY()-HR[[#This Row],[HireDate]])/365</f>
        <v>4.0383561643835613</v>
      </c>
      <c r="G255" s="4" t="str">
        <f>IF(HR[[#This Row],[ Employee Status]]="still working","",YEAR(HR[[#This Row],[ExitDate]]))</f>
        <v/>
      </c>
      <c r="H255" s="6">
        <v>10870</v>
      </c>
      <c r="I255" s="10">
        <v>3.1</v>
      </c>
      <c r="J255" s="10">
        <v>2.66</v>
      </c>
      <c r="K255" s="4">
        <v>13</v>
      </c>
    </row>
    <row r="256" spans="1:11" x14ac:dyDescent="0.3">
      <c r="A256" s="4">
        <v>255</v>
      </c>
      <c r="B256" t="s">
        <v>7</v>
      </c>
      <c r="C256" s="1">
        <v>45251</v>
      </c>
      <c r="D256" s="1"/>
      <c r="E256" t="s">
        <v>8</v>
      </c>
      <c r="F256" s="11">
        <f ca="1">IF(HR[[#This Row],[ Employee Status]]="exited",HR[[#This Row],[ExitDate]]-HR[[#This Row],[HireDate]],TODAY()-HR[[#This Row],[HireDate]])/365</f>
        <v>2.6273972602739728</v>
      </c>
      <c r="G256" s="4" t="str">
        <f>IF(HR[[#This Row],[ Employee Status]]="still working","",YEAR(HR[[#This Row],[ExitDate]]))</f>
        <v/>
      </c>
      <c r="H256" s="6">
        <v>13837</v>
      </c>
      <c r="I256" s="10">
        <v>2.4</v>
      </c>
      <c r="J256" s="10">
        <v>2.67</v>
      </c>
      <c r="K256" s="4">
        <v>5</v>
      </c>
    </row>
    <row r="257" spans="1:11" x14ac:dyDescent="0.3">
      <c r="A257" s="4">
        <v>256</v>
      </c>
      <c r="B257" t="s">
        <v>10</v>
      </c>
      <c r="C257" s="1">
        <v>45469</v>
      </c>
      <c r="D257" s="1"/>
      <c r="E257" t="s">
        <v>8</v>
      </c>
      <c r="F257" s="11">
        <f ca="1">IF(HR[[#This Row],[ Employee Status]]="exited",HR[[#This Row],[ExitDate]]-HR[[#This Row],[HireDate]],TODAY()-HR[[#This Row],[HireDate]])/365</f>
        <v>2.0301369863013701</v>
      </c>
      <c r="G257" s="4" t="str">
        <f>IF(HR[[#This Row],[ Employee Status]]="still working","",YEAR(HR[[#This Row],[ExitDate]]))</f>
        <v/>
      </c>
      <c r="H257" s="6">
        <v>10638</v>
      </c>
      <c r="I257" s="10">
        <v>2.65</v>
      </c>
      <c r="J257" s="10">
        <v>1.05</v>
      </c>
      <c r="K257" s="4">
        <v>17</v>
      </c>
    </row>
    <row r="258" spans="1:11" x14ac:dyDescent="0.3">
      <c r="A258" s="4">
        <v>257</v>
      </c>
      <c r="B258" t="s">
        <v>7</v>
      </c>
      <c r="C258" s="1">
        <v>43586</v>
      </c>
      <c r="D258" s="1"/>
      <c r="E258" t="s">
        <v>8</v>
      </c>
      <c r="F258" s="11">
        <f ca="1">IF(HR[[#This Row],[ Employee Status]]="exited",HR[[#This Row],[ExitDate]]-HR[[#This Row],[HireDate]],TODAY()-HR[[#This Row],[HireDate]])/365</f>
        <v>7.1890410958904107</v>
      </c>
      <c r="G258" s="4" t="str">
        <f>IF(HR[[#This Row],[ Employee Status]]="still working","",YEAR(HR[[#This Row],[ExitDate]]))</f>
        <v/>
      </c>
      <c r="H258" s="6">
        <v>5385</v>
      </c>
      <c r="I258" s="10">
        <v>3.11</v>
      </c>
      <c r="J258" s="10">
        <v>2.06</v>
      </c>
      <c r="K258" s="4">
        <v>10</v>
      </c>
    </row>
    <row r="259" spans="1:11" x14ac:dyDescent="0.3">
      <c r="A259" s="4">
        <v>258</v>
      </c>
      <c r="B259" t="s">
        <v>9</v>
      </c>
      <c r="C259" s="1">
        <v>45301</v>
      </c>
      <c r="D259" s="1"/>
      <c r="E259" t="s">
        <v>8</v>
      </c>
      <c r="F259" s="11">
        <f ca="1">IF(HR[[#This Row],[ Employee Status]]="exited",HR[[#This Row],[ExitDate]]-HR[[#This Row],[HireDate]],TODAY()-HR[[#This Row],[HireDate]])/365</f>
        <v>2.4904109589041097</v>
      </c>
      <c r="G259" s="4" t="str">
        <f>IF(HR[[#This Row],[ Employee Status]]="still working","",YEAR(HR[[#This Row],[ExitDate]]))</f>
        <v/>
      </c>
      <c r="H259" s="6">
        <v>8887</v>
      </c>
      <c r="I259" s="10">
        <v>2.4500000000000002</v>
      </c>
      <c r="J259" s="10">
        <v>2.2999999999999998</v>
      </c>
      <c r="K259" s="4">
        <v>27</v>
      </c>
    </row>
    <row r="260" spans="1:11" x14ac:dyDescent="0.3">
      <c r="A260" s="4">
        <v>259</v>
      </c>
      <c r="B260" t="s">
        <v>14</v>
      </c>
      <c r="C260" s="1">
        <v>43560</v>
      </c>
      <c r="D260" s="1"/>
      <c r="E260" t="s">
        <v>8</v>
      </c>
      <c r="F260" s="11">
        <f ca="1">IF(HR[[#This Row],[ Employee Status]]="exited",HR[[#This Row],[ExitDate]]-HR[[#This Row],[HireDate]],TODAY()-HR[[#This Row],[HireDate]])/365</f>
        <v>7.2602739726027394</v>
      </c>
      <c r="G260" s="4" t="str">
        <f>IF(HR[[#This Row],[ Employee Status]]="still working","",YEAR(HR[[#This Row],[ExitDate]]))</f>
        <v/>
      </c>
      <c r="H260" s="6">
        <v>14996</v>
      </c>
      <c r="I260" s="10">
        <v>4.3600000000000003</v>
      </c>
      <c r="J260" s="10">
        <v>4.57</v>
      </c>
      <c r="K260" s="4">
        <v>8</v>
      </c>
    </row>
    <row r="261" spans="1:11" x14ac:dyDescent="0.3">
      <c r="A261" s="4">
        <v>260</v>
      </c>
      <c r="B261" t="s">
        <v>13</v>
      </c>
      <c r="C261" s="1">
        <v>44985</v>
      </c>
      <c r="D261" s="1"/>
      <c r="E261" t="s">
        <v>8</v>
      </c>
      <c r="F261" s="11">
        <f ca="1">IF(HR[[#This Row],[ Employee Status]]="exited",HR[[#This Row],[ExitDate]]-HR[[#This Row],[HireDate]],TODAY()-HR[[#This Row],[HireDate]])/365</f>
        <v>3.3561643835616439</v>
      </c>
      <c r="G261" s="4" t="str">
        <f>IF(HR[[#This Row],[ Employee Status]]="still working","",YEAR(HR[[#This Row],[ExitDate]]))</f>
        <v/>
      </c>
      <c r="H261" s="6">
        <v>11616</v>
      </c>
      <c r="I261" s="10">
        <v>2.76</v>
      </c>
      <c r="J261" s="10">
        <v>4.3600000000000003</v>
      </c>
      <c r="K261" s="4">
        <v>25</v>
      </c>
    </row>
    <row r="262" spans="1:11" x14ac:dyDescent="0.3">
      <c r="A262" s="4">
        <v>261</v>
      </c>
      <c r="B262" t="s">
        <v>7</v>
      </c>
      <c r="C262" s="1">
        <v>43975</v>
      </c>
      <c r="D262" s="1"/>
      <c r="E262" t="s">
        <v>8</v>
      </c>
      <c r="F262" s="11">
        <f ca="1">IF(HR[[#This Row],[ Employee Status]]="exited",HR[[#This Row],[ExitDate]]-HR[[#This Row],[HireDate]],TODAY()-HR[[#This Row],[HireDate]])/365</f>
        <v>6.1232876712328768</v>
      </c>
      <c r="G262" s="4" t="str">
        <f>IF(HR[[#This Row],[ Employee Status]]="still working","",YEAR(HR[[#This Row],[ExitDate]]))</f>
        <v/>
      </c>
      <c r="H262" s="6">
        <v>10451</v>
      </c>
      <c r="I262" s="10">
        <v>4.6900000000000004</v>
      </c>
      <c r="J262" s="10">
        <v>3.55</v>
      </c>
      <c r="K262" s="4">
        <v>14</v>
      </c>
    </row>
    <row r="263" spans="1:11" x14ac:dyDescent="0.3">
      <c r="A263" s="4">
        <v>262</v>
      </c>
      <c r="B263" t="s">
        <v>7</v>
      </c>
      <c r="C263" s="1">
        <v>44495</v>
      </c>
      <c r="D263" s="1">
        <v>44537</v>
      </c>
      <c r="E263" t="s">
        <v>12</v>
      </c>
      <c r="F263" s="11">
        <f ca="1">IF(HR[[#This Row],[ Employee Status]]="exited",HR[[#This Row],[ExitDate]]-HR[[#This Row],[HireDate]],TODAY()-HR[[#This Row],[HireDate]])/365</f>
        <v>0.11506849315068493</v>
      </c>
      <c r="G263" s="4">
        <f>IF(HR[[#This Row],[ Employee Status]]="still working","",YEAR(HR[[#This Row],[ExitDate]]))</f>
        <v>2021</v>
      </c>
      <c r="H263" s="6">
        <v>10083</v>
      </c>
      <c r="I263" s="10">
        <v>2.13</v>
      </c>
      <c r="J263" s="10">
        <v>1.34</v>
      </c>
      <c r="K263" s="4">
        <v>10</v>
      </c>
    </row>
    <row r="264" spans="1:11" x14ac:dyDescent="0.3">
      <c r="A264" s="4">
        <v>263</v>
      </c>
      <c r="B264" t="s">
        <v>14</v>
      </c>
      <c r="C264" s="1">
        <v>45245</v>
      </c>
      <c r="D264" s="1"/>
      <c r="E264" t="s">
        <v>8</v>
      </c>
      <c r="F264" s="11">
        <f ca="1">IF(HR[[#This Row],[ Employee Status]]="exited",HR[[#This Row],[ExitDate]]-HR[[#This Row],[HireDate]],TODAY()-HR[[#This Row],[HireDate]])/365</f>
        <v>2.6438356164383561</v>
      </c>
      <c r="G264" s="4" t="str">
        <f>IF(HR[[#This Row],[ Employee Status]]="still working","",YEAR(HR[[#This Row],[ExitDate]]))</f>
        <v/>
      </c>
      <c r="H264" s="6">
        <v>11599</v>
      </c>
      <c r="I264" s="10">
        <v>3.53</v>
      </c>
      <c r="J264" s="10">
        <v>2.5499999999999998</v>
      </c>
      <c r="K264" s="4">
        <v>13</v>
      </c>
    </row>
    <row r="265" spans="1:11" x14ac:dyDescent="0.3">
      <c r="A265" s="4">
        <v>264</v>
      </c>
      <c r="B265" t="s">
        <v>9</v>
      </c>
      <c r="C265" s="1">
        <v>44103</v>
      </c>
      <c r="D265" s="1">
        <v>45474</v>
      </c>
      <c r="E265" t="s">
        <v>12</v>
      </c>
      <c r="F265" s="11">
        <f ca="1">IF(HR[[#This Row],[ Employee Status]]="exited",HR[[#This Row],[ExitDate]]-HR[[#This Row],[HireDate]],TODAY()-HR[[#This Row],[HireDate]])/365</f>
        <v>3.7561643835616438</v>
      </c>
      <c r="G265" s="4">
        <f>IF(HR[[#This Row],[ Employee Status]]="still working","",YEAR(HR[[#This Row],[ExitDate]]))</f>
        <v>2024</v>
      </c>
      <c r="H265" s="6">
        <v>8330</v>
      </c>
      <c r="I265" s="10">
        <v>2.52</v>
      </c>
      <c r="J265" s="10">
        <v>1.39</v>
      </c>
      <c r="K265" s="4">
        <v>29</v>
      </c>
    </row>
    <row r="266" spans="1:11" x14ac:dyDescent="0.3">
      <c r="A266" s="4">
        <v>265</v>
      </c>
      <c r="B266" t="s">
        <v>10</v>
      </c>
      <c r="C266" s="1">
        <v>44023</v>
      </c>
      <c r="D266" s="1">
        <v>45021</v>
      </c>
      <c r="E266" t="s">
        <v>12</v>
      </c>
      <c r="F266" s="11">
        <f ca="1">IF(HR[[#This Row],[ Employee Status]]="exited",HR[[#This Row],[ExitDate]]-HR[[#This Row],[HireDate]],TODAY()-HR[[#This Row],[HireDate]])/365</f>
        <v>2.7342465753424658</v>
      </c>
      <c r="G266" s="4">
        <f>IF(HR[[#This Row],[ Employee Status]]="still working","",YEAR(HR[[#This Row],[ExitDate]]))</f>
        <v>2023</v>
      </c>
      <c r="H266" s="6">
        <v>12765</v>
      </c>
      <c r="I266" s="10">
        <v>4.7</v>
      </c>
      <c r="J266" s="10">
        <v>4.13</v>
      </c>
      <c r="K266" s="4">
        <v>7</v>
      </c>
    </row>
    <row r="267" spans="1:11" x14ac:dyDescent="0.3">
      <c r="A267" s="4">
        <v>266</v>
      </c>
      <c r="B267" t="s">
        <v>10</v>
      </c>
      <c r="C267" s="1">
        <v>43415</v>
      </c>
      <c r="D267" s="1"/>
      <c r="E267" t="s">
        <v>8</v>
      </c>
      <c r="F267" s="11">
        <f ca="1">IF(HR[[#This Row],[ Employee Status]]="exited",HR[[#This Row],[ExitDate]]-HR[[#This Row],[HireDate]],TODAY()-HR[[#This Row],[HireDate]])/365</f>
        <v>7.6575342465753424</v>
      </c>
      <c r="G267" s="4" t="str">
        <f>IF(HR[[#This Row],[ Employee Status]]="still working","",YEAR(HR[[#This Row],[ExitDate]]))</f>
        <v/>
      </c>
      <c r="H267" s="6">
        <v>8960</v>
      </c>
      <c r="I267" s="10">
        <v>2.78</v>
      </c>
      <c r="J267" s="10">
        <v>1.28</v>
      </c>
      <c r="K267" s="4">
        <v>24</v>
      </c>
    </row>
    <row r="268" spans="1:11" x14ac:dyDescent="0.3">
      <c r="A268" s="4">
        <v>267</v>
      </c>
      <c r="B268" t="s">
        <v>11</v>
      </c>
      <c r="C268" s="1">
        <v>44983</v>
      </c>
      <c r="D268" s="1"/>
      <c r="E268" t="s">
        <v>8</v>
      </c>
      <c r="F268" s="11">
        <f ca="1">IF(HR[[#This Row],[ Employee Status]]="exited",HR[[#This Row],[ExitDate]]-HR[[#This Row],[HireDate]],TODAY()-HR[[#This Row],[HireDate]])/365</f>
        <v>3.3616438356164382</v>
      </c>
      <c r="G268" s="4" t="str">
        <f>IF(HR[[#This Row],[ Employee Status]]="still working","",YEAR(HR[[#This Row],[ExitDate]]))</f>
        <v/>
      </c>
      <c r="H268" s="6">
        <v>9910</v>
      </c>
      <c r="I268" s="10">
        <v>2.88</v>
      </c>
      <c r="J268" s="10">
        <v>4.92</v>
      </c>
      <c r="K268" s="4">
        <v>21</v>
      </c>
    </row>
    <row r="269" spans="1:11" x14ac:dyDescent="0.3">
      <c r="A269" s="4">
        <v>268</v>
      </c>
      <c r="B269" t="s">
        <v>9</v>
      </c>
      <c r="C269" s="1">
        <v>43113</v>
      </c>
      <c r="D269" s="1"/>
      <c r="E269" t="s">
        <v>8</v>
      </c>
      <c r="F269" s="11">
        <f ca="1">IF(HR[[#This Row],[ Employee Status]]="exited",HR[[#This Row],[ExitDate]]-HR[[#This Row],[HireDate]],TODAY()-HR[[#This Row],[HireDate]])/365</f>
        <v>8.4849315068493159</v>
      </c>
      <c r="G269" s="4" t="str">
        <f>IF(HR[[#This Row],[ Employee Status]]="still working","",YEAR(HR[[#This Row],[ExitDate]]))</f>
        <v/>
      </c>
      <c r="H269" s="6">
        <v>8960</v>
      </c>
      <c r="I269" s="10">
        <v>3.8</v>
      </c>
      <c r="J269" s="10">
        <v>1.38</v>
      </c>
      <c r="K269" s="4">
        <v>7</v>
      </c>
    </row>
    <row r="270" spans="1:11" x14ac:dyDescent="0.3">
      <c r="A270" s="4">
        <v>269</v>
      </c>
      <c r="B270" t="s">
        <v>9</v>
      </c>
      <c r="C270" s="1">
        <v>44875</v>
      </c>
      <c r="D270" s="1"/>
      <c r="E270" t="s">
        <v>8</v>
      </c>
      <c r="F270" s="11">
        <f ca="1">IF(HR[[#This Row],[ Employee Status]]="exited",HR[[#This Row],[ExitDate]]-HR[[#This Row],[HireDate]],TODAY()-HR[[#This Row],[HireDate]])/365</f>
        <v>3.6575342465753424</v>
      </c>
      <c r="G270" s="4" t="str">
        <f>IF(HR[[#This Row],[ Employee Status]]="still working","",YEAR(HR[[#This Row],[ExitDate]]))</f>
        <v/>
      </c>
      <c r="H270" s="6">
        <v>10128</v>
      </c>
      <c r="I270" s="10">
        <v>4.78</v>
      </c>
      <c r="J270" s="10">
        <v>3.7</v>
      </c>
      <c r="K270" s="4">
        <v>18</v>
      </c>
    </row>
    <row r="271" spans="1:11" x14ac:dyDescent="0.3">
      <c r="A271" s="4">
        <v>270</v>
      </c>
      <c r="B271" t="s">
        <v>7</v>
      </c>
      <c r="C271" s="1">
        <v>45005</v>
      </c>
      <c r="D271" s="1">
        <v>46205</v>
      </c>
      <c r="E271" t="s">
        <v>12</v>
      </c>
      <c r="F271" s="11">
        <f ca="1">IF(HR[[#This Row],[ Employee Status]]="exited",HR[[#This Row],[ExitDate]]-HR[[#This Row],[HireDate]],TODAY()-HR[[#This Row],[HireDate]])/365</f>
        <v>3.2876712328767121</v>
      </c>
      <c r="G271" s="4">
        <f>IF(HR[[#This Row],[ Employee Status]]="still working","",YEAR(HR[[#This Row],[ExitDate]]))</f>
        <v>2026</v>
      </c>
      <c r="H271" s="6">
        <v>12759</v>
      </c>
      <c r="I271" s="10">
        <v>2.78</v>
      </c>
      <c r="J271" s="10">
        <v>3.18</v>
      </c>
      <c r="K271" s="4">
        <v>20</v>
      </c>
    </row>
    <row r="272" spans="1:11" x14ac:dyDescent="0.3">
      <c r="A272" s="4">
        <v>271</v>
      </c>
      <c r="B272" t="s">
        <v>7</v>
      </c>
      <c r="C272" s="1">
        <v>44287</v>
      </c>
      <c r="D272" s="1">
        <v>44766</v>
      </c>
      <c r="E272" t="s">
        <v>12</v>
      </c>
      <c r="F272" s="11">
        <f ca="1">IF(HR[[#This Row],[ Employee Status]]="exited",HR[[#This Row],[ExitDate]]-HR[[#This Row],[HireDate]],TODAY()-HR[[#This Row],[HireDate]])/365</f>
        <v>1.3123287671232877</v>
      </c>
      <c r="G272" s="4">
        <f>IF(HR[[#This Row],[ Employee Status]]="still working","",YEAR(HR[[#This Row],[ExitDate]]))</f>
        <v>2022</v>
      </c>
      <c r="H272" s="6">
        <v>3301</v>
      </c>
      <c r="I272" s="10">
        <v>3.97</v>
      </c>
      <c r="J272" s="10">
        <v>1.71</v>
      </c>
      <c r="K272" s="4">
        <v>21</v>
      </c>
    </row>
    <row r="273" spans="1:11" x14ac:dyDescent="0.3">
      <c r="A273" s="4">
        <v>272</v>
      </c>
      <c r="B273" t="s">
        <v>13</v>
      </c>
      <c r="C273" s="1">
        <v>44011</v>
      </c>
      <c r="D273" s="1">
        <v>44446</v>
      </c>
      <c r="E273" t="s">
        <v>12</v>
      </c>
      <c r="F273" s="11">
        <f ca="1">IF(HR[[#This Row],[ Employee Status]]="exited",HR[[#This Row],[ExitDate]]-HR[[#This Row],[HireDate]],TODAY()-HR[[#This Row],[HireDate]])/365</f>
        <v>1.1917808219178083</v>
      </c>
      <c r="G273" s="4">
        <f>IF(HR[[#This Row],[ Employee Status]]="still working","",YEAR(HR[[#This Row],[ExitDate]]))</f>
        <v>2021</v>
      </c>
      <c r="H273" s="6">
        <v>13773</v>
      </c>
      <c r="I273" s="10">
        <v>2.3199999999999998</v>
      </c>
      <c r="J273" s="10">
        <v>3.74</v>
      </c>
      <c r="K273" s="4">
        <v>19</v>
      </c>
    </row>
    <row r="274" spans="1:11" x14ac:dyDescent="0.3">
      <c r="A274" s="4">
        <v>273</v>
      </c>
      <c r="B274" t="s">
        <v>14</v>
      </c>
      <c r="C274" s="1">
        <v>45235</v>
      </c>
      <c r="D274" s="1">
        <v>46129</v>
      </c>
      <c r="E274" t="s">
        <v>12</v>
      </c>
      <c r="F274" s="11">
        <f ca="1">IF(HR[[#This Row],[ Employee Status]]="exited",HR[[#This Row],[ExitDate]]-HR[[#This Row],[HireDate]],TODAY()-HR[[#This Row],[HireDate]])/365</f>
        <v>2.4493150684931506</v>
      </c>
      <c r="G274" s="4">
        <f>IF(HR[[#This Row],[ Employee Status]]="still working","",YEAR(HR[[#This Row],[ExitDate]]))</f>
        <v>2026</v>
      </c>
      <c r="H274" s="6">
        <v>7183</v>
      </c>
      <c r="I274" s="10">
        <v>4.2699999999999996</v>
      </c>
      <c r="J274" s="10">
        <v>3.97</v>
      </c>
      <c r="K274" s="4">
        <v>2</v>
      </c>
    </row>
    <row r="275" spans="1:11" x14ac:dyDescent="0.3">
      <c r="A275" s="4">
        <v>274</v>
      </c>
      <c r="B275" t="s">
        <v>14</v>
      </c>
      <c r="C275" s="1">
        <v>45602</v>
      </c>
      <c r="D275" s="1"/>
      <c r="E275" t="s">
        <v>8</v>
      </c>
      <c r="F275" s="11">
        <f ca="1">IF(HR[[#This Row],[ Employee Status]]="exited",HR[[#This Row],[ExitDate]]-HR[[#This Row],[HireDate]],TODAY()-HR[[#This Row],[HireDate]])/365</f>
        <v>1.6657534246575343</v>
      </c>
      <c r="G275" s="4" t="str">
        <f>IF(HR[[#This Row],[ Employee Status]]="still working","",YEAR(HR[[#This Row],[ExitDate]]))</f>
        <v/>
      </c>
      <c r="H275" s="6">
        <v>3022</v>
      </c>
      <c r="I275" s="10">
        <v>3.91</v>
      </c>
      <c r="J275" s="10">
        <v>4.04</v>
      </c>
      <c r="K275" s="4">
        <v>14</v>
      </c>
    </row>
    <row r="276" spans="1:11" x14ac:dyDescent="0.3">
      <c r="A276" s="4">
        <v>275</v>
      </c>
      <c r="B276" t="s">
        <v>10</v>
      </c>
      <c r="C276" s="1">
        <v>44376</v>
      </c>
      <c r="D276" s="1"/>
      <c r="E276" t="s">
        <v>8</v>
      </c>
      <c r="F276" s="11">
        <f ca="1">IF(HR[[#This Row],[ Employee Status]]="exited",HR[[#This Row],[ExitDate]]-HR[[#This Row],[HireDate]],TODAY()-HR[[#This Row],[HireDate]])/365</f>
        <v>5.0246575342465754</v>
      </c>
      <c r="G276" s="4" t="str">
        <f>IF(HR[[#This Row],[ Employee Status]]="still working","",YEAR(HR[[#This Row],[ExitDate]]))</f>
        <v/>
      </c>
      <c r="H276" s="6">
        <v>6727</v>
      </c>
      <c r="I276" s="10">
        <v>4.6399999999999997</v>
      </c>
      <c r="J276" s="10">
        <v>2.11</v>
      </c>
      <c r="K276" s="4">
        <v>2</v>
      </c>
    </row>
    <row r="277" spans="1:11" x14ac:dyDescent="0.3">
      <c r="A277" s="4">
        <v>276</v>
      </c>
      <c r="B277" t="s">
        <v>10</v>
      </c>
      <c r="C277" s="1">
        <v>44896</v>
      </c>
      <c r="D277" s="1"/>
      <c r="E277" t="s">
        <v>8</v>
      </c>
      <c r="F277" s="11">
        <f ca="1">IF(HR[[#This Row],[ Employee Status]]="exited",HR[[#This Row],[ExitDate]]-HR[[#This Row],[HireDate]],TODAY()-HR[[#This Row],[HireDate]])/365</f>
        <v>3.6</v>
      </c>
      <c r="G277" s="4" t="str">
        <f>IF(HR[[#This Row],[ Employee Status]]="still working","",YEAR(HR[[#This Row],[ExitDate]]))</f>
        <v/>
      </c>
      <c r="H277" s="6">
        <v>11033</v>
      </c>
      <c r="I277" s="10">
        <v>4.2</v>
      </c>
      <c r="J277" s="10">
        <v>3.46</v>
      </c>
      <c r="K277" s="4">
        <v>26</v>
      </c>
    </row>
    <row r="278" spans="1:11" x14ac:dyDescent="0.3">
      <c r="A278" s="4">
        <v>277</v>
      </c>
      <c r="B278" t="s">
        <v>7</v>
      </c>
      <c r="C278" s="1">
        <v>43344</v>
      </c>
      <c r="D278" s="1"/>
      <c r="E278" t="s">
        <v>8</v>
      </c>
      <c r="F278" s="11">
        <f ca="1">IF(HR[[#This Row],[ Employee Status]]="exited",HR[[#This Row],[ExitDate]]-HR[[#This Row],[HireDate]],TODAY()-HR[[#This Row],[HireDate]])/365</f>
        <v>7.8520547945205479</v>
      </c>
      <c r="G278" s="4" t="str">
        <f>IF(HR[[#This Row],[ Employee Status]]="still working","",YEAR(HR[[#This Row],[ExitDate]]))</f>
        <v/>
      </c>
      <c r="H278" s="6">
        <v>5547</v>
      </c>
      <c r="I278" s="10">
        <v>4.5199999999999996</v>
      </c>
      <c r="J278" s="10">
        <v>4.33</v>
      </c>
      <c r="K278" s="4">
        <v>13</v>
      </c>
    </row>
    <row r="279" spans="1:11" x14ac:dyDescent="0.3">
      <c r="A279" s="4">
        <v>278</v>
      </c>
      <c r="B279" t="s">
        <v>10</v>
      </c>
      <c r="C279" s="1">
        <v>45515</v>
      </c>
      <c r="D279" s="1"/>
      <c r="E279" t="s">
        <v>8</v>
      </c>
      <c r="F279" s="11">
        <f ca="1">IF(HR[[#This Row],[ Employee Status]]="exited",HR[[#This Row],[ExitDate]]-HR[[#This Row],[HireDate]],TODAY()-HR[[#This Row],[HireDate]])/365</f>
        <v>1.904109589041096</v>
      </c>
      <c r="G279" s="4" t="str">
        <f>IF(HR[[#This Row],[ Employee Status]]="still working","",YEAR(HR[[#This Row],[ExitDate]]))</f>
        <v/>
      </c>
      <c r="H279" s="6">
        <v>10604</v>
      </c>
      <c r="I279" s="10">
        <v>2.4500000000000002</v>
      </c>
      <c r="J279" s="10">
        <v>2.2200000000000002</v>
      </c>
      <c r="K279" s="4">
        <v>23</v>
      </c>
    </row>
    <row r="280" spans="1:11" x14ac:dyDescent="0.3">
      <c r="A280" s="4">
        <v>279</v>
      </c>
      <c r="B280" t="s">
        <v>10</v>
      </c>
      <c r="C280" s="1">
        <v>43699</v>
      </c>
      <c r="D280" s="1"/>
      <c r="E280" t="s">
        <v>8</v>
      </c>
      <c r="F280" s="11">
        <f ca="1">IF(HR[[#This Row],[ Employee Status]]="exited",HR[[#This Row],[ExitDate]]-HR[[#This Row],[HireDate]],TODAY()-HR[[#This Row],[HireDate]])/365</f>
        <v>6.8794520547945206</v>
      </c>
      <c r="G280" s="4" t="str">
        <f>IF(HR[[#This Row],[ Employee Status]]="still working","",YEAR(HR[[#This Row],[ExitDate]]))</f>
        <v/>
      </c>
      <c r="H280" s="6">
        <v>5179</v>
      </c>
      <c r="I280" s="10">
        <v>4.34</v>
      </c>
      <c r="J280" s="10">
        <v>1.87</v>
      </c>
      <c r="K280" s="4">
        <v>25</v>
      </c>
    </row>
    <row r="281" spans="1:11" x14ac:dyDescent="0.3">
      <c r="A281" s="4">
        <v>280</v>
      </c>
      <c r="B281" t="s">
        <v>7</v>
      </c>
      <c r="C281" s="1">
        <v>44791</v>
      </c>
      <c r="D281" s="1"/>
      <c r="E281" t="s">
        <v>8</v>
      </c>
      <c r="F281" s="11">
        <f ca="1">IF(HR[[#This Row],[ Employee Status]]="exited",HR[[#This Row],[ExitDate]]-HR[[#This Row],[HireDate]],TODAY()-HR[[#This Row],[HireDate]])/365</f>
        <v>3.8876712328767122</v>
      </c>
      <c r="G281" s="4" t="str">
        <f>IF(HR[[#This Row],[ Employee Status]]="still working","",YEAR(HR[[#This Row],[ExitDate]]))</f>
        <v/>
      </c>
      <c r="H281" s="6">
        <v>5023</v>
      </c>
      <c r="I281" s="10">
        <v>2.5</v>
      </c>
      <c r="J281" s="10">
        <v>1.73</v>
      </c>
      <c r="K281" s="4">
        <v>12</v>
      </c>
    </row>
    <row r="282" spans="1:11" x14ac:dyDescent="0.3">
      <c r="A282" s="4">
        <v>281</v>
      </c>
      <c r="B282" t="s">
        <v>9</v>
      </c>
      <c r="C282" s="1">
        <v>43828</v>
      </c>
      <c r="D282" s="1"/>
      <c r="E282" t="s">
        <v>8</v>
      </c>
      <c r="F282" s="11">
        <f ca="1">IF(HR[[#This Row],[ Employee Status]]="exited",HR[[#This Row],[ExitDate]]-HR[[#This Row],[HireDate]],TODAY()-HR[[#This Row],[HireDate]])/365</f>
        <v>6.5260273972602736</v>
      </c>
      <c r="G282" s="4" t="str">
        <f>IF(HR[[#This Row],[ Employee Status]]="still working","",YEAR(HR[[#This Row],[ExitDate]]))</f>
        <v/>
      </c>
      <c r="H282" s="6">
        <v>6292</v>
      </c>
      <c r="I282" s="10">
        <v>3.74</v>
      </c>
      <c r="J282" s="10">
        <v>3.25</v>
      </c>
      <c r="K282" s="4">
        <v>3</v>
      </c>
    </row>
    <row r="283" spans="1:11" x14ac:dyDescent="0.3">
      <c r="A283" s="4">
        <v>282</v>
      </c>
      <c r="B283" t="s">
        <v>10</v>
      </c>
      <c r="C283" s="1">
        <v>43369</v>
      </c>
      <c r="D283" s="1"/>
      <c r="E283" t="s">
        <v>8</v>
      </c>
      <c r="F283" s="11">
        <f ca="1">IF(HR[[#This Row],[ Employee Status]]="exited",HR[[#This Row],[ExitDate]]-HR[[#This Row],[HireDate]],TODAY()-HR[[#This Row],[HireDate]])/365</f>
        <v>7.7835616438356166</v>
      </c>
      <c r="G283" s="4" t="str">
        <f>IF(HR[[#This Row],[ Employee Status]]="still working","",YEAR(HR[[#This Row],[ExitDate]]))</f>
        <v/>
      </c>
      <c r="H283" s="6">
        <v>3593</v>
      </c>
      <c r="I283" s="10">
        <v>2.97</v>
      </c>
      <c r="J283" s="10">
        <v>3.55</v>
      </c>
      <c r="K283" s="4">
        <v>18</v>
      </c>
    </row>
    <row r="284" spans="1:11" x14ac:dyDescent="0.3">
      <c r="A284" s="4">
        <v>283</v>
      </c>
      <c r="B284" t="s">
        <v>7</v>
      </c>
      <c r="C284" s="1">
        <v>43978</v>
      </c>
      <c r="D284" s="1"/>
      <c r="E284" t="s">
        <v>8</v>
      </c>
      <c r="F284" s="11">
        <f ca="1">IF(HR[[#This Row],[ Employee Status]]="exited",HR[[#This Row],[ExitDate]]-HR[[#This Row],[HireDate]],TODAY()-HR[[#This Row],[HireDate]])/365</f>
        <v>6.1150684931506847</v>
      </c>
      <c r="G284" s="4" t="str">
        <f>IF(HR[[#This Row],[ Employee Status]]="still working","",YEAR(HR[[#This Row],[ExitDate]]))</f>
        <v/>
      </c>
      <c r="H284" s="6">
        <v>3541</v>
      </c>
      <c r="I284" s="10">
        <v>4.4800000000000004</v>
      </c>
      <c r="J284" s="10">
        <v>3.08</v>
      </c>
      <c r="K284" s="4">
        <v>12</v>
      </c>
    </row>
    <row r="285" spans="1:11" x14ac:dyDescent="0.3">
      <c r="A285" s="4">
        <v>284</v>
      </c>
      <c r="B285" t="s">
        <v>13</v>
      </c>
      <c r="C285" s="1">
        <v>43928</v>
      </c>
      <c r="D285" s="1"/>
      <c r="E285" t="s">
        <v>8</v>
      </c>
      <c r="F285" s="11">
        <f ca="1">IF(HR[[#This Row],[ Employee Status]]="exited",HR[[#This Row],[ExitDate]]-HR[[#This Row],[HireDate]],TODAY()-HR[[#This Row],[HireDate]])/365</f>
        <v>6.2520547945205482</v>
      </c>
      <c r="G285" s="4" t="str">
        <f>IF(HR[[#This Row],[ Employee Status]]="still working","",YEAR(HR[[#This Row],[ExitDate]]))</f>
        <v/>
      </c>
      <c r="H285" s="6">
        <v>12398</v>
      </c>
      <c r="I285" s="10">
        <v>2.19</v>
      </c>
      <c r="J285" s="10">
        <v>4.21</v>
      </c>
      <c r="K285" s="4">
        <v>14</v>
      </c>
    </row>
    <row r="286" spans="1:11" x14ac:dyDescent="0.3">
      <c r="A286" s="4">
        <v>285</v>
      </c>
      <c r="B286" t="s">
        <v>9</v>
      </c>
      <c r="C286" s="1">
        <v>44613</v>
      </c>
      <c r="D286" s="1">
        <v>44927</v>
      </c>
      <c r="E286" t="s">
        <v>12</v>
      </c>
      <c r="F286" s="11">
        <f ca="1">IF(HR[[#This Row],[ Employee Status]]="exited",HR[[#This Row],[ExitDate]]-HR[[#This Row],[HireDate]],TODAY()-HR[[#This Row],[HireDate]])/365</f>
        <v>0.86027397260273974</v>
      </c>
      <c r="G286" s="4">
        <f>IF(HR[[#This Row],[ Employee Status]]="still working","",YEAR(HR[[#This Row],[ExitDate]]))</f>
        <v>2023</v>
      </c>
      <c r="H286" s="6">
        <v>8237</v>
      </c>
      <c r="I286" s="10">
        <v>3.91</v>
      </c>
      <c r="J286" s="10">
        <v>4.1399999999999997</v>
      </c>
      <c r="K286" s="4">
        <v>26</v>
      </c>
    </row>
    <row r="287" spans="1:11" x14ac:dyDescent="0.3">
      <c r="A287" s="4">
        <v>286</v>
      </c>
      <c r="B287" t="s">
        <v>11</v>
      </c>
      <c r="C287" s="1">
        <v>43600</v>
      </c>
      <c r="D287" s="1"/>
      <c r="E287" t="s">
        <v>8</v>
      </c>
      <c r="F287" s="11">
        <f ca="1">IF(HR[[#This Row],[ Employee Status]]="exited",HR[[#This Row],[ExitDate]]-HR[[#This Row],[HireDate]],TODAY()-HR[[#This Row],[HireDate]])/365</f>
        <v>7.1506849315068495</v>
      </c>
      <c r="G287" s="4" t="str">
        <f>IF(HR[[#This Row],[ Employee Status]]="still working","",YEAR(HR[[#This Row],[ExitDate]]))</f>
        <v/>
      </c>
      <c r="H287" s="6">
        <v>5171</v>
      </c>
      <c r="I287" s="10">
        <v>3.76</v>
      </c>
      <c r="J287" s="10">
        <v>1.74</v>
      </c>
      <c r="K287" s="4">
        <v>28</v>
      </c>
    </row>
    <row r="288" spans="1:11" x14ac:dyDescent="0.3">
      <c r="A288" s="4">
        <v>287</v>
      </c>
      <c r="B288" t="s">
        <v>14</v>
      </c>
      <c r="C288" s="1">
        <v>45245</v>
      </c>
      <c r="D288" s="1">
        <v>46673</v>
      </c>
      <c r="E288" t="s">
        <v>12</v>
      </c>
      <c r="F288" s="11">
        <f ca="1">IF(HR[[#This Row],[ Employee Status]]="exited",HR[[#This Row],[ExitDate]]-HR[[#This Row],[HireDate]],TODAY()-HR[[#This Row],[HireDate]])/365</f>
        <v>3.9123287671232876</v>
      </c>
      <c r="G288" s="4">
        <f>IF(HR[[#This Row],[ Employee Status]]="still working","",YEAR(HR[[#This Row],[ExitDate]]))</f>
        <v>2027</v>
      </c>
      <c r="H288" s="6">
        <v>8068</v>
      </c>
      <c r="I288" s="10">
        <v>3.76</v>
      </c>
      <c r="J288" s="10">
        <v>3.79</v>
      </c>
      <c r="K288" s="4">
        <v>26</v>
      </c>
    </row>
    <row r="289" spans="1:11" x14ac:dyDescent="0.3">
      <c r="A289" s="4">
        <v>288</v>
      </c>
      <c r="B289" t="s">
        <v>7</v>
      </c>
      <c r="C289" s="1">
        <v>43747</v>
      </c>
      <c r="D289" s="1"/>
      <c r="E289" t="s">
        <v>8</v>
      </c>
      <c r="F289" s="11">
        <f ca="1">IF(HR[[#This Row],[ Employee Status]]="exited",HR[[#This Row],[ExitDate]]-HR[[#This Row],[HireDate]],TODAY()-HR[[#This Row],[HireDate]])/365</f>
        <v>6.7479452054794518</v>
      </c>
      <c r="G289" s="4" t="str">
        <f>IF(HR[[#This Row],[ Employee Status]]="still working","",YEAR(HR[[#This Row],[ExitDate]]))</f>
        <v/>
      </c>
      <c r="H289" s="6">
        <v>4449</v>
      </c>
      <c r="I289" s="10">
        <v>3.13</v>
      </c>
      <c r="J289" s="10">
        <v>2.85</v>
      </c>
      <c r="K289" s="4">
        <v>19</v>
      </c>
    </row>
    <row r="290" spans="1:11" x14ac:dyDescent="0.3">
      <c r="A290" s="4">
        <v>289</v>
      </c>
      <c r="B290" t="s">
        <v>10</v>
      </c>
      <c r="C290" s="1">
        <v>43235</v>
      </c>
      <c r="D290" s="1">
        <v>43518</v>
      </c>
      <c r="E290" t="s">
        <v>12</v>
      </c>
      <c r="F290" s="11">
        <f ca="1">IF(HR[[#This Row],[ Employee Status]]="exited",HR[[#This Row],[ExitDate]]-HR[[#This Row],[HireDate]],TODAY()-HR[[#This Row],[HireDate]])/365</f>
        <v>0.77534246575342469</v>
      </c>
      <c r="G290" s="4">
        <f>IF(HR[[#This Row],[ Employee Status]]="still working","",YEAR(HR[[#This Row],[ExitDate]]))</f>
        <v>2019</v>
      </c>
      <c r="H290" s="6">
        <v>11895</v>
      </c>
      <c r="I290" s="10">
        <v>2.2400000000000002</v>
      </c>
      <c r="J290" s="10">
        <v>3.91</v>
      </c>
      <c r="K290" s="4">
        <v>17</v>
      </c>
    </row>
    <row r="291" spans="1:11" x14ac:dyDescent="0.3">
      <c r="A291" s="4">
        <v>290</v>
      </c>
      <c r="B291" t="s">
        <v>13</v>
      </c>
      <c r="C291" s="1">
        <v>43393</v>
      </c>
      <c r="D291" s="1">
        <v>44149</v>
      </c>
      <c r="E291" t="s">
        <v>12</v>
      </c>
      <c r="F291" s="11">
        <f ca="1">IF(HR[[#This Row],[ Employee Status]]="exited",HR[[#This Row],[ExitDate]]-HR[[#This Row],[HireDate]],TODAY()-HR[[#This Row],[HireDate]])/365</f>
        <v>2.0712328767123287</v>
      </c>
      <c r="G291" s="4">
        <f>IF(HR[[#This Row],[ Employee Status]]="still working","",YEAR(HR[[#This Row],[ExitDate]]))</f>
        <v>2020</v>
      </c>
      <c r="H291" s="6">
        <v>13851</v>
      </c>
      <c r="I291" s="10">
        <v>3.83</v>
      </c>
      <c r="J291" s="10">
        <v>1.54</v>
      </c>
      <c r="K291" s="4">
        <v>19</v>
      </c>
    </row>
    <row r="292" spans="1:11" x14ac:dyDescent="0.3">
      <c r="A292" s="4">
        <v>291</v>
      </c>
      <c r="B292" t="s">
        <v>9</v>
      </c>
      <c r="C292" s="1">
        <v>43223</v>
      </c>
      <c r="D292" s="1"/>
      <c r="E292" t="s">
        <v>8</v>
      </c>
      <c r="F292" s="11">
        <f ca="1">IF(HR[[#This Row],[ Employee Status]]="exited",HR[[#This Row],[ExitDate]]-HR[[#This Row],[HireDate]],TODAY()-HR[[#This Row],[HireDate]])/365</f>
        <v>8.1835616438356169</v>
      </c>
      <c r="G292" s="4" t="str">
        <f>IF(HR[[#This Row],[ Employee Status]]="still working","",YEAR(HR[[#This Row],[ExitDate]]))</f>
        <v/>
      </c>
      <c r="H292" s="6">
        <v>9868</v>
      </c>
      <c r="I292" s="10">
        <v>2.85</v>
      </c>
      <c r="J292" s="10">
        <v>2.0499999999999998</v>
      </c>
      <c r="K292" s="4">
        <v>2</v>
      </c>
    </row>
    <row r="293" spans="1:11" x14ac:dyDescent="0.3">
      <c r="A293" s="4">
        <v>292</v>
      </c>
      <c r="B293" t="s">
        <v>11</v>
      </c>
      <c r="C293" s="1">
        <v>45525</v>
      </c>
      <c r="D293" s="1"/>
      <c r="E293" t="s">
        <v>8</v>
      </c>
      <c r="F293" s="11">
        <f ca="1">IF(HR[[#This Row],[ Employee Status]]="exited",HR[[#This Row],[ExitDate]]-HR[[#This Row],[HireDate]],TODAY()-HR[[#This Row],[HireDate]])/365</f>
        <v>1.8767123287671232</v>
      </c>
      <c r="G293" s="4" t="str">
        <f>IF(HR[[#This Row],[ Employee Status]]="still working","",YEAR(HR[[#This Row],[ExitDate]]))</f>
        <v/>
      </c>
      <c r="H293" s="6">
        <v>3631</v>
      </c>
      <c r="I293" s="10">
        <v>3.29</v>
      </c>
      <c r="J293" s="10">
        <v>4.38</v>
      </c>
      <c r="K293" s="4">
        <v>5</v>
      </c>
    </row>
    <row r="294" spans="1:11" x14ac:dyDescent="0.3">
      <c r="A294" s="4">
        <v>293</v>
      </c>
      <c r="B294" t="s">
        <v>7</v>
      </c>
      <c r="C294" s="1">
        <v>44371</v>
      </c>
      <c r="D294" s="1"/>
      <c r="E294" t="s">
        <v>8</v>
      </c>
      <c r="F294" s="11">
        <f ca="1">IF(HR[[#This Row],[ Employee Status]]="exited",HR[[#This Row],[ExitDate]]-HR[[#This Row],[HireDate]],TODAY()-HR[[#This Row],[HireDate]])/365</f>
        <v>5.0383561643835613</v>
      </c>
      <c r="G294" s="4" t="str">
        <f>IF(HR[[#This Row],[ Employee Status]]="still working","",YEAR(HR[[#This Row],[ExitDate]]))</f>
        <v/>
      </c>
      <c r="H294" s="6">
        <v>8960</v>
      </c>
      <c r="I294" s="10">
        <v>4.72</v>
      </c>
      <c r="J294" s="10">
        <v>1.56</v>
      </c>
      <c r="K294" s="4">
        <v>3</v>
      </c>
    </row>
    <row r="295" spans="1:11" x14ac:dyDescent="0.3">
      <c r="A295" s="4">
        <v>294</v>
      </c>
      <c r="B295" t="s">
        <v>14</v>
      </c>
      <c r="C295" s="1">
        <v>45275</v>
      </c>
      <c r="D295" s="1"/>
      <c r="E295" t="s">
        <v>8</v>
      </c>
      <c r="F295" s="11">
        <f ca="1">IF(HR[[#This Row],[ Employee Status]]="exited",HR[[#This Row],[ExitDate]]-HR[[#This Row],[HireDate]],TODAY()-HR[[#This Row],[HireDate]])/365</f>
        <v>2.5616438356164384</v>
      </c>
      <c r="G295" s="4" t="str">
        <f>IF(HR[[#This Row],[ Employee Status]]="still working","",YEAR(HR[[#This Row],[ExitDate]]))</f>
        <v/>
      </c>
      <c r="H295" s="6">
        <v>14333</v>
      </c>
      <c r="I295" s="10">
        <v>3.99</v>
      </c>
      <c r="J295" s="10">
        <v>4.8499999999999996</v>
      </c>
      <c r="K295" s="4">
        <v>14</v>
      </c>
    </row>
    <row r="296" spans="1:11" x14ac:dyDescent="0.3">
      <c r="A296" s="4">
        <v>295</v>
      </c>
      <c r="B296" t="s">
        <v>7</v>
      </c>
      <c r="C296" s="1">
        <v>45443</v>
      </c>
      <c r="D296" s="1">
        <v>46581</v>
      </c>
      <c r="E296" t="s">
        <v>12</v>
      </c>
      <c r="F296" s="11">
        <f ca="1">IF(HR[[#This Row],[ Employee Status]]="exited",HR[[#This Row],[ExitDate]]-HR[[#This Row],[HireDate]],TODAY()-HR[[#This Row],[HireDate]])/365</f>
        <v>3.117808219178082</v>
      </c>
      <c r="G296" s="4">
        <f>IF(HR[[#This Row],[ Employee Status]]="still working","",YEAR(HR[[#This Row],[ExitDate]]))</f>
        <v>2027</v>
      </c>
      <c r="H296" s="6">
        <v>4449</v>
      </c>
      <c r="I296" s="10">
        <v>3.87</v>
      </c>
      <c r="J296" s="10">
        <v>2.98</v>
      </c>
      <c r="K296" s="4">
        <v>20</v>
      </c>
    </row>
    <row r="297" spans="1:11" x14ac:dyDescent="0.3">
      <c r="A297" s="4">
        <v>296</v>
      </c>
      <c r="B297" t="s">
        <v>14</v>
      </c>
      <c r="C297" s="1">
        <v>44921</v>
      </c>
      <c r="D297" s="1"/>
      <c r="E297" t="s">
        <v>8</v>
      </c>
      <c r="F297" s="11">
        <f ca="1">IF(HR[[#This Row],[ Employee Status]]="exited",HR[[#This Row],[ExitDate]]-HR[[#This Row],[HireDate]],TODAY()-HR[[#This Row],[HireDate]])/365</f>
        <v>3.5315068493150683</v>
      </c>
      <c r="G297" s="4" t="str">
        <f>IF(HR[[#This Row],[ Employee Status]]="still working","",YEAR(HR[[#This Row],[ExitDate]]))</f>
        <v/>
      </c>
      <c r="H297" s="6">
        <v>6670</v>
      </c>
      <c r="I297" s="10">
        <v>3.39</v>
      </c>
      <c r="J297" s="10">
        <v>4.8899999999999997</v>
      </c>
      <c r="K297" s="4">
        <v>11</v>
      </c>
    </row>
    <row r="298" spans="1:11" x14ac:dyDescent="0.3">
      <c r="A298" s="4">
        <v>297</v>
      </c>
      <c r="B298" t="s">
        <v>13</v>
      </c>
      <c r="C298" s="1">
        <v>45087</v>
      </c>
      <c r="D298" s="1"/>
      <c r="E298" t="s">
        <v>8</v>
      </c>
      <c r="F298" s="11">
        <f ca="1">IF(HR[[#This Row],[ Employee Status]]="exited",HR[[#This Row],[ExitDate]]-HR[[#This Row],[HireDate]],TODAY()-HR[[#This Row],[HireDate]])/365</f>
        <v>3.0767123287671234</v>
      </c>
      <c r="G298" s="4" t="str">
        <f>IF(HR[[#This Row],[ Employee Status]]="still working","",YEAR(HR[[#This Row],[ExitDate]]))</f>
        <v/>
      </c>
      <c r="H298" s="6">
        <v>9304</v>
      </c>
      <c r="I298" s="10">
        <v>2.75</v>
      </c>
      <c r="J298" s="10">
        <v>4.4000000000000004</v>
      </c>
      <c r="K298" s="4">
        <v>22</v>
      </c>
    </row>
    <row r="299" spans="1:11" x14ac:dyDescent="0.3">
      <c r="A299" s="4">
        <v>298</v>
      </c>
      <c r="B299" t="s">
        <v>7</v>
      </c>
      <c r="C299" s="1">
        <v>45401</v>
      </c>
      <c r="D299" s="1"/>
      <c r="E299" t="s">
        <v>8</v>
      </c>
      <c r="F299" s="11">
        <f ca="1">IF(HR[[#This Row],[ Employee Status]]="exited",HR[[#This Row],[ExitDate]]-HR[[#This Row],[HireDate]],TODAY()-HR[[#This Row],[HireDate]])/365</f>
        <v>2.2164383561643834</v>
      </c>
      <c r="G299" s="4" t="str">
        <f>IF(HR[[#This Row],[ Employee Status]]="still working","",YEAR(HR[[#This Row],[ExitDate]]))</f>
        <v/>
      </c>
      <c r="H299" s="6">
        <v>3572</v>
      </c>
      <c r="I299" s="10">
        <v>2.2000000000000002</v>
      </c>
      <c r="J299" s="10">
        <v>3.83</v>
      </c>
      <c r="K299" s="4">
        <v>16</v>
      </c>
    </row>
    <row r="300" spans="1:11" x14ac:dyDescent="0.3">
      <c r="A300" s="4">
        <v>299</v>
      </c>
      <c r="B300" t="s">
        <v>11</v>
      </c>
      <c r="C300" s="1">
        <v>45610</v>
      </c>
      <c r="D300" s="1"/>
      <c r="E300" t="s">
        <v>8</v>
      </c>
      <c r="F300" s="11">
        <f ca="1">IF(HR[[#This Row],[ Employee Status]]="exited",HR[[#This Row],[ExitDate]]-HR[[#This Row],[HireDate]],TODAY()-HR[[#This Row],[HireDate]])/365</f>
        <v>1.6438356164383561</v>
      </c>
      <c r="G300" s="4" t="str">
        <f>IF(HR[[#This Row],[ Employee Status]]="still working","",YEAR(HR[[#This Row],[ExitDate]]))</f>
        <v/>
      </c>
      <c r="H300" s="6">
        <v>13849</v>
      </c>
      <c r="I300" s="10">
        <v>4.84</v>
      </c>
      <c r="J300" s="10">
        <v>4.4000000000000004</v>
      </c>
      <c r="K300" s="4">
        <v>1</v>
      </c>
    </row>
    <row r="301" spans="1:11" x14ac:dyDescent="0.3">
      <c r="A301" s="4">
        <v>300</v>
      </c>
      <c r="B301" t="s">
        <v>14</v>
      </c>
      <c r="C301" s="1">
        <v>43405</v>
      </c>
      <c r="D301" s="1"/>
      <c r="E301" t="s">
        <v>8</v>
      </c>
      <c r="F301" s="11">
        <f ca="1">IF(HR[[#This Row],[ Employee Status]]="exited",HR[[#This Row],[ExitDate]]-HR[[#This Row],[HireDate]],TODAY()-HR[[#This Row],[HireDate]])/365</f>
        <v>7.6849315068493151</v>
      </c>
      <c r="G301" s="4" t="str">
        <f>IF(HR[[#This Row],[ Employee Status]]="still working","",YEAR(HR[[#This Row],[ExitDate]]))</f>
        <v/>
      </c>
      <c r="H301" s="6">
        <v>6750</v>
      </c>
      <c r="I301" s="10">
        <v>3.54</v>
      </c>
      <c r="J301" s="10">
        <v>4.2300000000000004</v>
      </c>
      <c r="K301" s="4">
        <v>9</v>
      </c>
    </row>
    <row r="302" spans="1:11" x14ac:dyDescent="0.3">
      <c r="A302" s="4">
        <v>301</v>
      </c>
      <c r="B302" t="s">
        <v>14</v>
      </c>
      <c r="C302" s="1">
        <v>44895</v>
      </c>
      <c r="D302" s="1">
        <v>45142</v>
      </c>
      <c r="E302" t="s">
        <v>12</v>
      </c>
      <c r="F302" s="11">
        <f ca="1">IF(HR[[#This Row],[ Employee Status]]="exited",HR[[#This Row],[ExitDate]]-HR[[#This Row],[HireDate]],TODAY()-HR[[#This Row],[HireDate]])/365</f>
        <v>0.67671232876712328</v>
      </c>
      <c r="G302" s="4">
        <f>IF(HR[[#This Row],[ Employee Status]]="still working","",YEAR(HR[[#This Row],[ExitDate]]))</f>
        <v>2023</v>
      </c>
      <c r="H302" s="6">
        <v>4854</v>
      </c>
      <c r="I302" s="10">
        <v>4.62</v>
      </c>
      <c r="J302" s="10">
        <v>3.18</v>
      </c>
      <c r="K302" s="4">
        <v>3</v>
      </c>
    </row>
    <row r="303" spans="1:11" x14ac:dyDescent="0.3">
      <c r="A303" s="4">
        <v>302</v>
      </c>
      <c r="B303" t="s">
        <v>11</v>
      </c>
      <c r="C303" s="1">
        <v>43337</v>
      </c>
      <c r="D303" s="1">
        <v>44006</v>
      </c>
      <c r="E303" t="s">
        <v>12</v>
      </c>
      <c r="F303" s="11">
        <f ca="1">IF(HR[[#This Row],[ Employee Status]]="exited",HR[[#This Row],[ExitDate]]-HR[[#This Row],[HireDate]],TODAY()-HR[[#This Row],[HireDate]])/365</f>
        <v>1.832876712328767</v>
      </c>
      <c r="G303" s="4">
        <f>IF(HR[[#This Row],[ Employee Status]]="still working","",YEAR(HR[[#This Row],[ExitDate]]))</f>
        <v>2020</v>
      </c>
      <c r="H303" s="6">
        <v>8774</v>
      </c>
      <c r="I303" s="10">
        <v>4.6399999999999997</v>
      </c>
      <c r="J303" s="10">
        <v>4.4800000000000004</v>
      </c>
      <c r="K303" s="4">
        <v>26</v>
      </c>
    </row>
    <row r="304" spans="1:11" x14ac:dyDescent="0.3">
      <c r="A304" s="4">
        <v>303</v>
      </c>
      <c r="B304" t="s">
        <v>10</v>
      </c>
      <c r="C304" s="1">
        <v>45130</v>
      </c>
      <c r="D304" s="1">
        <v>45178</v>
      </c>
      <c r="E304" t="s">
        <v>12</v>
      </c>
      <c r="F304" s="11">
        <f ca="1">IF(HR[[#This Row],[ Employee Status]]="exited",HR[[#This Row],[ExitDate]]-HR[[#This Row],[HireDate]],TODAY()-HR[[#This Row],[HireDate]])/365</f>
        <v>0.13150684931506848</v>
      </c>
      <c r="G304" s="4">
        <f>IF(HR[[#This Row],[ Employee Status]]="still working","",YEAR(HR[[#This Row],[ExitDate]]))</f>
        <v>2023</v>
      </c>
      <c r="H304" s="6">
        <v>6867</v>
      </c>
      <c r="I304" s="10">
        <v>2.2000000000000002</v>
      </c>
      <c r="J304" s="10">
        <v>2.86</v>
      </c>
      <c r="K304" s="4">
        <v>7</v>
      </c>
    </row>
    <row r="305" spans="1:11" x14ac:dyDescent="0.3">
      <c r="A305" s="4">
        <v>304</v>
      </c>
      <c r="B305" t="s">
        <v>10</v>
      </c>
      <c r="C305" s="1">
        <v>44491</v>
      </c>
      <c r="D305" s="1"/>
      <c r="E305" t="s">
        <v>8</v>
      </c>
      <c r="F305" s="11">
        <f ca="1">IF(HR[[#This Row],[ Employee Status]]="exited",HR[[#This Row],[ExitDate]]-HR[[#This Row],[HireDate]],TODAY()-HR[[#This Row],[HireDate]])/365</f>
        <v>4.7095890410958905</v>
      </c>
      <c r="G305" s="4" t="str">
        <f>IF(HR[[#This Row],[ Employee Status]]="still working","",YEAR(HR[[#This Row],[ExitDate]]))</f>
        <v/>
      </c>
      <c r="H305" s="6">
        <v>12203</v>
      </c>
      <c r="I305" s="10">
        <v>3.36</v>
      </c>
      <c r="J305" s="10">
        <v>2.59</v>
      </c>
      <c r="K305" s="4">
        <v>10</v>
      </c>
    </row>
    <row r="306" spans="1:11" x14ac:dyDescent="0.3">
      <c r="A306" s="4">
        <v>305</v>
      </c>
      <c r="B306" t="s">
        <v>14</v>
      </c>
      <c r="C306" s="1">
        <v>44134</v>
      </c>
      <c r="D306" s="1">
        <v>44675</v>
      </c>
      <c r="E306" t="s">
        <v>12</v>
      </c>
      <c r="F306" s="11">
        <f ca="1">IF(HR[[#This Row],[ Employee Status]]="exited",HR[[#This Row],[ExitDate]]-HR[[#This Row],[HireDate]],TODAY()-HR[[#This Row],[HireDate]])/365</f>
        <v>1.4821917808219178</v>
      </c>
      <c r="G306" s="4">
        <f>IF(HR[[#This Row],[ Employee Status]]="still working","",YEAR(HR[[#This Row],[ExitDate]]))</f>
        <v>2022</v>
      </c>
      <c r="H306" s="6">
        <v>5551</v>
      </c>
      <c r="I306" s="10">
        <v>3.07</v>
      </c>
      <c r="J306" s="10">
        <v>4.03</v>
      </c>
      <c r="K306" s="4">
        <v>4</v>
      </c>
    </row>
    <row r="307" spans="1:11" x14ac:dyDescent="0.3">
      <c r="A307" s="4">
        <v>306</v>
      </c>
      <c r="B307" t="s">
        <v>13</v>
      </c>
      <c r="C307" s="1">
        <v>43313</v>
      </c>
      <c r="D307" s="1"/>
      <c r="E307" t="s">
        <v>8</v>
      </c>
      <c r="F307" s="11">
        <f ca="1">IF(HR[[#This Row],[ Employee Status]]="exited",HR[[#This Row],[ExitDate]]-HR[[#This Row],[HireDate]],TODAY()-HR[[#This Row],[HireDate]])/365</f>
        <v>7.9369863013698634</v>
      </c>
      <c r="G307" s="4" t="str">
        <f>IF(HR[[#This Row],[ Employee Status]]="still working","",YEAR(HR[[#This Row],[ExitDate]]))</f>
        <v/>
      </c>
      <c r="H307" s="6">
        <v>7654</v>
      </c>
      <c r="I307" s="10">
        <v>3.56</v>
      </c>
      <c r="J307" s="10">
        <v>2.79</v>
      </c>
      <c r="K307" s="4">
        <v>5</v>
      </c>
    </row>
    <row r="308" spans="1:11" x14ac:dyDescent="0.3">
      <c r="A308" s="4">
        <v>307</v>
      </c>
      <c r="B308" t="s">
        <v>14</v>
      </c>
      <c r="C308" s="1">
        <v>44343</v>
      </c>
      <c r="D308" s="1">
        <v>45638</v>
      </c>
      <c r="E308" t="s">
        <v>12</v>
      </c>
      <c r="F308" s="11">
        <f ca="1">IF(HR[[#This Row],[ Employee Status]]="exited",HR[[#This Row],[ExitDate]]-HR[[#This Row],[HireDate]],TODAY()-HR[[#This Row],[HireDate]])/365</f>
        <v>3.547945205479452</v>
      </c>
      <c r="G308" s="4">
        <f>IF(HR[[#This Row],[ Employee Status]]="still working","",YEAR(HR[[#This Row],[ExitDate]]))</f>
        <v>2024</v>
      </c>
      <c r="H308" s="6">
        <v>14116</v>
      </c>
      <c r="I308" s="10">
        <v>4.95</v>
      </c>
      <c r="J308" s="10">
        <v>1.56</v>
      </c>
      <c r="K308" s="4">
        <v>0</v>
      </c>
    </row>
    <row r="309" spans="1:11" x14ac:dyDescent="0.3">
      <c r="A309" s="4">
        <v>308</v>
      </c>
      <c r="B309" t="s">
        <v>7</v>
      </c>
      <c r="C309" s="1">
        <v>43246</v>
      </c>
      <c r="D309" s="1"/>
      <c r="E309" t="s">
        <v>8</v>
      </c>
      <c r="F309" s="11">
        <f ca="1">IF(HR[[#This Row],[ Employee Status]]="exited",HR[[#This Row],[ExitDate]]-HR[[#This Row],[HireDate]],TODAY()-HR[[#This Row],[HireDate]])/365</f>
        <v>8.1205479452054803</v>
      </c>
      <c r="G309" s="4" t="str">
        <f>IF(HR[[#This Row],[ Employee Status]]="still working","",YEAR(HR[[#This Row],[ExitDate]]))</f>
        <v/>
      </c>
      <c r="H309" s="6">
        <v>3687</v>
      </c>
      <c r="I309" s="10">
        <v>3.85</v>
      </c>
      <c r="J309" s="10">
        <v>1.33</v>
      </c>
      <c r="K309" s="4">
        <v>8</v>
      </c>
    </row>
    <row r="310" spans="1:11" x14ac:dyDescent="0.3">
      <c r="A310" s="4">
        <v>309</v>
      </c>
      <c r="B310" t="s">
        <v>11</v>
      </c>
      <c r="C310" s="1">
        <v>43825</v>
      </c>
      <c r="D310" s="1">
        <v>44260</v>
      </c>
      <c r="E310" t="s">
        <v>12</v>
      </c>
      <c r="F310" s="11">
        <f ca="1">IF(HR[[#This Row],[ Employee Status]]="exited",HR[[#This Row],[ExitDate]]-HR[[#This Row],[HireDate]],TODAY()-HR[[#This Row],[HireDate]])/365</f>
        <v>1.1917808219178083</v>
      </c>
      <c r="G310" s="4">
        <f>IF(HR[[#This Row],[ Employee Status]]="still working","",YEAR(HR[[#This Row],[ExitDate]]))</f>
        <v>2021</v>
      </c>
      <c r="H310" s="6">
        <v>10183</v>
      </c>
      <c r="I310" s="10">
        <v>2.37</v>
      </c>
      <c r="J310" s="10">
        <v>3.9</v>
      </c>
      <c r="K310" s="4">
        <v>1</v>
      </c>
    </row>
    <row r="311" spans="1:11" x14ac:dyDescent="0.3">
      <c r="A311" s="4">
        <v>310</v>
      </c>
      <c r="B311" t="s">
        <v>11</v>
      </c>
      <c r="C311" s="1">
        <v>44293</v>
      </c>
      <c r="D311" s="1"/>
      <c r="E311" t="s">
        <v>8</v>
      </c>
      <c r="F311" s="11">
        <f ca="1">IF(HR[[#This Row],[ Employee Status]]="exited",HR[[#This Row],[ExitDate]]-HR[[#This Row],[HireDate]],TODAY()-HR[[#This Row],[HireDate]])/365</f>
        <v>5.2520547945205482</v>
      </c>
      <c r="G311" s="4" t="str">
        <f>IF(HR[[#This Row],[ Employee Status]]="still working","",YEAR(HR[[#This Row],[ExitDate]]))</f>
        <v/>
      </c>
      <c r="H311" s="6">
        <v>4529</v>
      </c>
      <c r="I311" s="10">
        <v>2.04</v>
      </c>
      <c r="J311" s="10">
        <v>3.24</v>
      </c>
      <c r="K311" s="4">
        <v>0</v>
      </c>
    </row>
    <row r="312" spans="1:11" x14ac:dyDescent="0.3">
      <c r="A312" s="4">
        <v>311</v>
      </c>
      <c r="B312" t="s">
        <v>9</v>
      </c>
      <c r="C312" s="1">
        <v>45359</v>
      </c>
      <c r="D312" s="1"/>
      <c r="E312" t="s">
        <v>8</v>
      </c>
      <c r="F312" s="11">
        <f ca="1">IF(HR[[#This Row],[ Employee Status]]="exited",HR[[#This Row],[ExitDate]]-HR[[#This Row],[HireDate]],TODAY()-HR[[#This Row],[HireDate]])/365</f>
        <v>2.3315068493150686</v>
      </c>
      <c r="G312" s="4" t="str">
        <f>IF(HR[[#This Row],[ Employee Status]]="still working","",YEAR(HR[[#This Row],[ExitDate]]))</f>
        <v/>
      </c>
      <c r="H312" s="6">
        <v>10833</v>
      </c>
      <c r="I312" s="10">
        <v>2.56</v>
      </c>
      <c r="J312" s="10">
        <v>4.43</v>
      </c>
      <c r="K312" s="4">
        <v>19</v>
      </c>
    </row>
    <row r="313" spans="1:11" x14ac:dyDescent="0.3">
      <c r="A313" s="4">
        <v>312</v>
      </c>
      <c r="B313" t="s">
        <v>11</v>
      </c>
      <c r="C313" s="1">
        <v>43150</v>
      </c>
      <c r="D313" s="1">
        <v>43813</v>
      </c>
      <c r="E313" t="s">
        <v>12</v>
      </c>
      <c r="F313" s="11">
        <f ca="1">IF(HR[[#This Row],[ Employee Status]]="exited",HR[[#This Row],[ExitDate]]-HR[[#This Row],[HireDate]],TODAY()-HR[[#This Row],[HireDate]])/365</f>
        <v>1.8164383561643835</v>
      </c>
      <c r="G313" s="4">
        <f>IF(HR[[#This Row],[ Employee Status]]="still working","",YEAR(HR[[#This Row],[ExitDate]]))</f>
        <v>2019</v>
      </c>
      <c r="H313" s="6">
        <v>10544</v>
      </c>
      <c r="I313" s="10">
        <v>3.38</v>
      </c>
      <c r="J313" s="10">
        <v>2.4300000000000002</v>
      </c>
      <c r="K313" s="4">
        <v>1</v>
      </c>
    </row>
    <row r="314" spans="1:11" x14ac:dyDescent="0.3">
      <c r="A314" s="4">
        <v>313</v>
      </c>
      <c r="B314" t="s">
        <v>9</v>
      </c>
      <c r="C314" s="1">
        <v>44182</v>
      </c>
      <c r="D314" s="1">
        <v>44978</v>
      </c>
      <c r="E314" t="s">
        <v>12</v>
      </c>
      <c r="F314" s="11">
        <f ca="1">IF(HR[[#This Row],[ Employee Status]]="exited",HR[[#This Row],[ExitDate]]-HR[[#This Row],[HireDate]],TODAY()-HR[[#This Row],[HireDate]])/365</f>
        <v>2.1808219178082191</v>
      </c>
      <c r="G314" s="4">
        <f>IF(HR[[#This Row],[ Employee Status]]="still working","",YEAR(HR[[#This Row],[ExitDate]]))</f>
        <v>2023</v>
      </c>
      <c r="H314" s="6">
        <v>13013</v>
      </c>
      <c r="I314" s="10">
        <v>4.4800000000000004</v>
      </c>
      <c r="J314" s="10">
        <v>1.4</v>
      </c>
      <c r="K314" s="4">
        <v>20</v>
      </c>
    </row>
    <row r="315" spans="1:11" x14ac:dyDescent="0.3">
      <c r="A315" s="4">
        <v>314</v>
      </c>
      <c r="B315" t="s">
        <v>10</v>
      </c>
      <c r="C315" s="1">
        <v>44010</v>
      </c>
      <c r="D315" s="1"/>
      <c r="E315" t="s">
        <v>8</v>
      </c>
      <c r="F315" s="11">
        <f ca="1">IF(HR[[#This Row],[ Employee Status]]="exited",HR[[#This Row],[ExitDate]]-HR[[#This Row],[HireDate]],TODAY()-HR[[#This Row],[HireDate]])/365</f>
        <v>6.0273972602739727</v>
      </c>
      <c r="G315" s="4" t="str">
        <f>IF(HR[[#This Row],[ Employee Status]]="still working","",YEAR(HR[[#This Row],[ExitDate]]))</f>
        <v/>
      </c>
      <c r="H315" s="6">
        <v>9450</v>
      </c>
      <c r="I315" s="10">
        <v>3.95</v>
      </c>
      <c r="J315" s="10">
        <v>3.48</v>
      </c>
      <c r="K315" s="4">
        <v>21</v>
      </c>
    </row>
    <row r="316" spans="1:11" x14ac:dyDescent="0.3">
      <c r="A316" s="4">
        <v>315</v>
      </c>
      <c r="B316" t="s">
        <v>9</v>
      </c>
      <c r="C316" s="1">
        <v>44258</v>
      </c>
      <c r="D316" s="1"/>
      <c r="E316" t="s">
        <v>8</v>
      </c>
      <c r="F316" s="11">
        <f ca="1">IF(HR[[#This Row],[ Employee Status]]="exited",HR[[#This Row],[ExitDate]]-HR[[#This Row],[HireDate]],TODAY()-HR[[#This Row],[HireDate]])/365</f>
        <v>5.3479452054794523</v>
      </c>
      <c r="G316" s="4" t="str">
        <f>IF(HR[[#This Row],[ Employee Status]]="still working","",YEAR(HR[[#This Row],[ExitDate]]))</f>
        <v/>
      </c>
      <c r="H316" s="6">
        <v>4674</v>
      </c>
      <c r="I316" s="10">
        <v>2.09</v>
      </c>
      <c r="J316" s="10">
        <v>3.96</v>
      </c>
      <c r="K316" s="4">
        <v>1</v>
      </c>
    </row>
    <row r="317" spans="1:11" x14ac:dyDescent="0.3">
      <c r="A317" s="4">
        <v>316</v>
      </c>
      <c r="B317" t="s">
        <v>9</v>
      </c>
      <c r="C317" s="1">
        <v>44857</v>
      </c>
      <c r="D317" s="1"/>
      <c r="E317" t="s">
        <v>8</v>
      </c>
      <c r="F317" s="11">
        <f ca="1">IF(HR[[#This Row],[ Employee Status]]="exited",HR[[#This Row],[ExitDate]]-HR[[#This Row],[HireDate]],TODAY()-HR[[#This Row],[HireDate]])/365</f>
        <v>3.7068493150684931</v>
      </c>
      <c r="G317" s="4" t="str">
        <f>IF(HR[[#This Row],[ Employee Status]]="still working","",YEAR(HR[[#This Row],[ExitDate]]))</f>
        <v/>
      </c>
      <c r="H317" s="6">
        <v>12262</v>
      </c>
      <c r="I317" s="10">
        <v>2.68</v>
      </c>
      <c r="J317" s="10">
        <v>4.3499999999999996</v>
      </c>
      <c r="K317" s="4">
        <v>22</v>
      </c>
    </row>
    <row r="318" spans="1:11" x14ac:dyDescent="0.3">
      <c r="A318" s="4">
        <v>317</v>
      </c>
      <c r="B318" t="s">
        <v>14</v>
      </c>
      <c r="C318" s="1">
        <v>45253</v>
      </c>
      <c r="D318" s="1"/>
      <c r="E318" t="s">
        <v>8</v>
      </c>
      <c r="F318" s="11">
        <f ca="1">IF(HR[[#This Row],[ Employee Status]]="exited",HR[[#This Row],[ExitDate]]-HR[[#This Row],[HireDate]],TODAY()-HR[[#This Row],[HireDate]])/365</f>
        <v>2.6219178082191781</v>
      </c>
      <c r="G318" s="4" t="str">
        <f>IF(HR[[#This Row],[ Employee Status]]="still working","",YEAR(HR[[#This Row],[ExitDate]]))</f>
        <v/>
      </c>
      <c r="H318" s="6">
        <v>9659</v>
      </c>
      <c r="I318" s="10">
        <v>3.08</v>
      </c>
      <c r="J318" s="10">
        <v>1.27</v>
      </c>
      <c r="K318" s="4">
        <v>24</v>
      </c>
    </row>
    <row r="319" spans="1:11" x14ac:dyDescent="0.3">
      <c r="A319" s="4">
        <v>318</v>
      </c>
      <c r="B319" t="s">
        <v>11</v>
      </c>
      <c r="C319" s="1">
        <v>45325</v>
      </c>
      <c r="D319" s="1"/>
      <c r="E319" t="s">
        <v>8</v>
      </c>
      <c r="F319" s="11">
        <f ca="1">IF(HR[[#This Row],[ Employee Status]]="exited",HR[[#This Row],[ExitDate]]-HR[[#This Row],[HireDate]],TODAY()-HR[[#This Row],[HireDate]])/365</f>
        <v>2.4246575342465753</v>
      </c>
      <c r="G319" s="4" t="str">
        <f>IF(HR[[#This Row],[ Employee Status]]="still working","",YEAR(HR[[#This Row],[ExitDate]]))</f>
        <v/>
      </c>
      <c r="H319" s="6">
        <v>11179</v>
      </c>
      <c r="I319" s="10">
        <v>4.3</v>
      </c>
      <c r="J319" s="10">
        <v>4.1500000000000004</v>
      </c>
      <c r="K319" s="4">
        <v>12</v>
      </c>
    </row>
    <row r="320" spans="1:11" x14ac:dyDescent="0.3">
      <c r="A320" s="4">
        <v>319</v>
      </c>
      <c r="B320" t="s">
        <v>14</v>
      </c>
      <c r="C320" s="1">
        <v>44025</v>
      </c>
      <c r="D320" s="1">
        <v>44696</v>
      </c>
      <c r="E320" t="s">
        <v>12</v>
      </c>
      <c r="F320" s="11">
        <f ca="1">IF(HR[[#This Row],[ Employee Status]]="exited",HR[[#This Row],[ExitDate]]-HR[[#This Row],[HireDate]],TODAY()-HR[[#This Row],[HireDate]])/365</f>
        <v>1.8383561643835618</v>
      </c>
      <c r="G320" s="4">
        <f>IF(HR[[#This Row],[ Employee Status]]="still working","",YEAR(HR[[#This Row],[ExitDate]]))</f>
        <v>2022</v>
      </c>
      <c r="H320" s="6">
        <v>7741</v>
      </c>
      <c r="I320" s="10">
        <v>2.33</v>
      </c>
      <c r="J320" s="10">
        <v>2.79</v>
      </c>
      <c r="K320" s="4">
        <v>5</v>
      </c>
    </row>
    <row r="321" spans="1:11" x14ac:dyDescent="0.3">
      <c r="A321" s="4">
        <v>320</v>
      </c>
      <c r="B321" t="s">
        <v>7</v>
      </c>
      <c r="C321" s="1">
        <v>44756</v>
      </c>
      <c r="D321" s="1"/>
      <c r="E321" t="s">
        <v>8</v>
      </c>
      <c r="F321" s="11">
        <f ca="1">IF(HR[[#This Row],[ Employee Status]]="exited",HR[[#This Row],[ExitDate]]-HR[[#This Row],[HireDate]],TODAY()-HR[[#This Row],[HireDate]])/365</f>
        <v>3.9835616438356163</v>
      </c>
      <c r="G321" s="4" t="str">
        <f>IF(HR[[#This Row],[ Employee Status]]="still working","",YEAR(HR[[#This Row],[ExitDate]]))</f>
        <v/>
      </c>
      <c r="H321" s="6">
        <v>12031</v>
      </c>
      <c r="I321" s="10">
        <v>4.41</v>
      </c>
      <c r="J321" s="10">
        <v>2.92</v>
      </c>
      <c r="K321" s="4">
        <v>16</v>
      </c>
    </row>
    <row r="322" spans="1:11" x14ac:dyDescent="0.3">
      <c r="A322" s="4">
        <v>321</v>
      </c>
      <c r="B322" t="s">
        <v>11</v>
      </c>
      <c r="C322" s="1">
        <v>43740</v>
      </c>
      <c r="D322" s="1"/>
      <c r="E322" t="s">
        <v>8</v>
      </c>
      <c r="F322" s="11">
        <f ca="1">IF(HR[[#This Row],[ Employee Status]]="exited",HR[[#This Row],[ExitDate]]-HR[[#This Row],[HireDate]],TODAY()-HR[[#This Row],[HireDate]])/365</f>
        <v>6.7671232876712333</v>
      </c>
      <c r="G322" s="4" t="str">
        <f>IF(HR[[#This Row],[ Employee Status]]="still working","",YEAR(HR[[#This Row],[ExitDate]]))</f>
        <v/>
      </c>
      <c r="H322" s="6">
        <v>7249</v>
      </c>
      <c r="I322" s="10">
        <v>4.12</v>
      </c>
      <c r="J322" s="10">
        <v>4.8899999999999997</v>
      </c>
      <c r="K322" s="4">
        <v>2</v>
      </c>
    </row>
    <row r="323" spans="1:11" x14ac:dyDescent="0.3">
      <c r="A323" s="4">
        <v>322</v>
      </c>
      <c r="B323" t="s">
        <v>13</v>
      </c>
      <c r="C323" s="1">
        <v>44787</v>
      </c>
      <c r="D323" s="1">
        <v>46281</v>
      </c>
      <c r="E323" t="s">
        <v>12</v>
      </c>
      <c r="F323" s="11">
        <f ca="1">IF(HR[[#This Row],[ Employee Status]]="exited",HR[[#This Row],[ExitDate]]-HR[[#This Row],[HireDate]],TODAY()-HR[[#This Row],[HireDate]])/365</f>
        <v>4.0931506849315067</v>
      </c>
      <c r="G323" s="4">
        <f>IF(HR[[#This Row],[ Employee Status]]="still working","",YEAR(HR[[#This Row],[ExitDate]]))</f>
        <v>2026</v>
      </c>
      <c r="H323" s="6">
        <v>8960</v>
      </c>
      <c r="I323" s="10">
        <v>4.18</v>
      </c>
      <c r="J323" s="10">
        <v>2.2200000000000002</v>
      </c>
      <c r="K323" s="4">
        <v>22</v>
      </c>
    </row>
    <row r="324" spans="1:11" x14ac:dyDescent="0.3">
      <c r="A324" s="4">
        <v>323</v>
      </c>
      <c r="B324" t="s">
        <v>14</v>
      </c>
      <c r="C324" s="1">
        <v>45655</v>
      </c>
      <c r="D324" s="1"/>
      <c r="E324" t="s">
        <v>8</v>
      </c>
      <c r="F324" s="11">
        <f ca="1">IF(HR[[#This Row],[ Employee Status]]="exited",HR[[#This Row],[ExitDate]]-HR[[#This Row],[HireDate]],TODAY()-HR[[#This Row],[HireDate]])/365</f>
        <v>1.5205479452054795</v>
      </c>
      <c r="G324" s="4" t="str">
        <f>IF(HR[[#This Row],[ Employee Status]]="still working","",YEAR(HR[[#This Row],[ExitDate]]))</f>
        <v/>
      </c>
      <c r="H324" s="6">
        <v>5990</v>
      </c>
      <c r="I324" s="10">
        <v>2.36</v>
      </c>
      <c r="J324" s="10">
        <v>1.27</v>
      </c>
      <c r="K324" s="4">
        <v>16</v>
      </c>
    </row>
    <row r="325" spans="1:11" x14ac:dyDescent="0.3">
      <c r="A325" s="4">
        <v>324</v>
      </c>
      <c r="B325" t="s">
        <v>13</v>
      </c>
      <c r="C325" s="1">
        <v>44295</v>
      </c>
      <c r="D325" s="1"/>
      <c r="E325" t="s">
        <v>8</v>
      </c>
      <c r="F325" s="11">
        <f ca="1">IF(HR[[#This Row],[ Employee Status]]="exited",HR[[#This Row],[ExitDate]]-HR[[#This Row],[HireDate]],TODAY()-HR[[#This Row],[HireDate]])/365</f>
        <v>5.2465753424657535</v>
      </c>
      <c r="G325" s="4" t="str">
        <f>IF(HR[[#This Row],[ Employee Status]]="still working","",YEAR(HR[[#This Row],[ExitDate]]))</f>
        <v/>
      </c>
      <c r="H325" s="6">
        <v>14639</v>
      </c>
      <c r="I325" s="10">
        <v>2.2200000000000002</v>
      </c>
      <c r="J325" s="10">
        <v>1.91</v>
      </c>
      <c r="K325" s="4">
        <v>13</v>
      </c>
    </row>
    <row r="326" spans="1:11" x14ac:dyDescent="0.3">
      <c r="A326" s="4">
        <v>325</v>
      </c>
      <c r="B326" t="s">
        <v>9</v>
      </c>
      <c r="C326" s="1">
        <v>43639</v>
      </c>
      <c r="D326" s="1"/>
      <c r="E326" t="s">
        <v>8</v>
      </c>
      <c r="F326" s="11">
        <f ca="1">IF(HR[[#This Row],[ Employee Status]]="exited",HR[[#This Row],[ExitDate]]-HR[[#This Row],[HireDate]],TODAY()-HR[[#This Row],[HireDate]])/365</f>
        <v>7.043835616438356</v>
      </c>
      <c r="G326" s="4" t="str">
        <f>IF(HR[[#This Row],[ Employee Status]]="still working","",YEAR(HR[[#This Row],[ExitDate]]))</f>
        <v/>
      </c>
      <c r="H326" s="6">
        <v>11259</v>
      </c>
      <c r="I326" s="10">
        <v>2.99</v>
      </c>
      <c r="J326" s="10">
        <v>2.36</v>
      </c>
      <c r="K326" s="4">
        <v>23</v>
      </c>
    </row>
    <row r="327" spans="1:11" x14ac:dyDescent="0.3">
      <c r="A327" s="4">
        <v>326</v>
      </c>
      <c r="B327" t="s">
        <v>7</v>
      </c>
      <c r="C327" s="1">
        <v>45608</v>
      </c>
      <c r="D327" s="1"/>
      <c r="E327" t="s">
        <v>8</v>
      </c>
      <c r="F327" s="11">
        <f ca="1">IF(HR[[#This Row],[ Employee Status]]="exited",HR[[#This Row],[ExitDate]]-HR[[#This Row],[HireDate]],TODAY()-HR[[#This Row],[HireDate]])/365</f>
        <v>1.6493150684931508</v>
      </c>
      <c r="G327" s="4" t="str">
        <f>IF(HR[[#This Row],[ Employee Status]]="still working","",YEAR(HR[[#This Row],[ExitDate]]))</f>
        <v/>
      </c>
      <c r="H327" s="6">
        <v>12277</v>
      </c>
      <c r="I327" s="10">
        <v>3.75</v>
      </c>
      <c r="J327" s="10">
        <v>4.9800000000000004</v>
      </c>
      <c r="K327" s="4">
        <v>17</v>
      </c>
    </row>
    <row r="328" spans="1:11" x14ac:dyDescent="0.3">
      <c r="A328" s="4">
        <v>327</v>
      </c>
      <c r="B328" t="s">
        <v>7</v>
      </c>
      <c r="C328" s="1">
        <v>43729</v>
      </c>
      <c r="D328" s="1"/>
      <c r="E328" t="s">
        <v>8</v>
      </c>
      <c r="F328" s="11">
        <f ca="1">IF(HR[[#This Row],[ Employee Status]]="exited",HR[[#This Row],[ExitDate]]-HR[[#This Row],[HireDate]],TODAY()-HR[[#This Row],[HireDate]])/365</f>
        <v>6.7972602739726025</v>
      </c>
      <c r="G328" s="4" t="str">
        <f>IF(HR[[#This Row],[ Employee Status]]="still working","",YEAR(HR[[#This Row],[ExitDate]]))</f>
        <v/>
      </c>
      <c r="H328" s="6">
        <v>4348</v>
      </c>
      <c r="I328" s="10">
        <v>3.47</v>
      </c>
      <c r="J328" s="10">
        <v>3.95</v>
      </c>
      <c r="K328" s="4">
        <v>8</v>
      </c>
    </row>
    <row r="329" spans="1:11" x14ac:dyDescent="0.3">
      <c r="A329" s="4">
        <v>328</v>
      </c>
      <c r="B329" t="s">
        <v>9</v>
      </c>
      <c r="C329" s="1">
        <v>44385</v>
      </c>
      <c r="D329" s="1">
        <v>45514</v>
      </c>
      <c r="E329" t="s">
        <v>12</v>
      </c>
      <c r="F329" s="11">
        <f ca="1">IF(HR[[#This Row],[ Employee Status]]="exited",HR[[#This Row],[ExitDate]]-HR[[#This Row],[HireDate]],TODAY()-HR[[#This Row],[HireDate]])/365</f>
        <v>3.0931506849315067</v>
      </c>
      <c r="G329" s="4">
        <f>IF(HR[[#This Row],[ Employee Status]]="still working","",YEAR(HR[[#This Row],[ExitDate]]))</f>
        <v>2024</v>
      </c>
      <c r="H329" s="6">
        <v>12250</v>
      </c>
      <c r="I329" s="10">
        <v>3.72</v>
      </c>
      <c r="J329" s="10">
        <v>3.07</v>
      </c>
      <c r="K329" s="4">
        <v>14</v>
      </c>
    </row>
    <row r="330" spans="1:11" x14ac:dyDescent="0.3">
      <c r="A330" s="4">
        <v>329</v>
      </c>
      <c r="B330" t="s">
        <v>11</v>
      </c>
      <c r="C330" s="1">
        <v>44790</v>
      </c>
      <c r="D330" s="1"/>
      <c r="E330" t="s">
        <v>8</v>
      </c>
      <c r="F330" s="11">
        <f ca="1">IF(HR[[#This Row],[ Employee Status]]="exited",HR[[#This Row],[ExitDate]]-HR[[#This Row],[HireDate]],TODAY()-HR[[#This Row],[HireDate]])/365</f>
        <v>3.8904109589041096</v>
      </c>
      <c r="G330" s="4" t="str">
        <f>IF(HR[[#This Row],[ Employee Status]]="still working","",YEAR(HR[[#This Row],[ExitDate]]))</f>
        <v/>
      </c>
      <c r="H330" s="6">
        <v>14851</v>
      </c>
      <c r="I330" s="10">
        <v>3.02</v>
      </c>
      <c r="J330" s="10">
        <v>1.66</v>
      </c>
      <c r="K330" s="4">
        <v>21</v>
      </c>
    </row>
    <row r="331" spans="1:11" x14ac:dyDescent="0.3">
      <c r="A331" s="4">
        <v>330</v>
      </c>
      <c r="B331" t="s">
        <v>14</v>
      </c>
      <c r="C331" s="1">
        <v>44350</v>
      </c>
      <c r="D331" s="1"/>
      <c r="E331" t="s">
        <v>8</v>
      </c>
      <c r="F331" s="11">
        <f ca="1">IF(HR[[#This Row],[ Employee Status]]="exited",HR[[#This Row],[ExitDate]]-HR[[#This Row],[HireDate]],TODAY()-HR[[#This Row],[HireDate]])/365</f>
        <v>5.095890410958904</v>
      </c>
      <c r="G331" s="4" t="str">
        <f>IF(HR[[#This Row],[ Employee Status]]="still working","",YEAR(HR[[#This Row],[ExitDate]]))</f>
        <v/>
      </c>
      <c r="H331" s="6">
        <v>12765</v>
      </c>
      <c r="I331" s="10">
        <v>2.71</v>
      </c>
      <c r="J331" s="10">
        <v>3.05</v>
      </c>
      <c r="K331" s="4">
        <v>27</v>
      </c>
    </row>
    <row r="332" spans="1:11" x14ac:dyDescent="0.3">
      <c r="A332" s="4">
        <v>331</v>
      </c>
      <c r="B332" t="s">
        <v>9</v>
      </c>
      <c r="C332" s="1">
        <v>43579</v>
      </c>
      <c r="D332" s="1"/>
      <c r="E332" t="s">
        <v>8</v>
      </c>
      <c r="F332" s="11">
        <f ca="1">IF(HR[[#This Row],[ Employee Status]]="exited",HR[[#This Row],[ExitDate]]-HR[[#This Row],[HireDate]],TODAY()-HR[[#This Row],[HireDate]])/365</f>
        <v>7.2082191780821914</v>
      </c>
      <c r="G332" s="4" t="str">
        <f>IF(HR[[#This Row],[ Employee Status]]="still working","",YEAR(HR[[#This Row],[ExitDate]]))</f>
        <v/>
      </c>
      <c r="H332" s="6">
        <v>11770</v>
      </c>
      <c r="I332" s="10">
        <v>3.8</v>
      </c>
      <c r="J332" s="10">
        <v>3.97</v>
      </c>
      <c r="K332" s="4">
        <v>0</v>
      </c>
    </row>
    <row r="333" spans="1:11" x14ac:dyDescent="0.3">
      <c r="A333" s="4">
        <v>332</v>
      </c>
      <c r="B333" t="s">
        <v>11</v>
      </c>
      <c r="C333" s="1">
        <v>44777</v>
      </c>
      <c r="D333" s="1"/>
      <c r="E333" t="s">
        <v>8</v>
      </c>
      <c r="F333" s="11">
        <f ca="1">IF(HR[[#This Row],[ Employee Status]]="exited",HR[[#This Row],[ExitDate]]-HR[[#This Row],[HireDate]],TODAY()-HR[[#This Row],[HireDate]])/365</f>
        <v>3.9260273972602739</v>
      </c>
      <c r="G333" s="4" t="str">
        <f>IF(HR[[#This Row],[ Employee Status]]="still working","",YEAR(HR[[#This Row],[ExitDate]]))</f>
        <v/>
      </c>
      <c r="H333" s="6">
        <v>10429</v>
      </c>
      <c r="I333" s="10">
        <v>2.12</v>
      </c>
      <c r="J333" s="10">
        <v>3.42</v>
      </c>
      <c r="K333" s="4">
        <v>26</v>
      </c>
    </row>
    <row r="334" spans="1:11" x14ac:dyDescent="0.3">
      <c r="A334" s="4">
        <v>333</v>
      </c>
      <c r="B334" t="s">
        <v>9</v>
      </c>
      <c r="C334" s="1">
        <v>43659</v>
      </c>
      <c r="D334" s="1"/>
      <c r="E334" t="s">
        <v>8</v>
      </c>
      <c r="F334" s="11">
        <f ca="1">IF(HR[[#This Row],[ Employee Status]]="exited",HR[[#This Row],[ExitDate]]-HR[[#This Row],[HireDate]],TODAY()-HR[[#This Row],[HireDate]])/365</f>
        <v>6.9890410958904106</v>
      </c>
      <c r="G334" s="4" t="str">
        <f>IF(HR[[#This Row],[ Employee Status]]="still working","",YEAR(HR[[#This Row],[ExitDate]]))</f>
        <v/>
      </c>
      <c r="H334" s="6">
        <v>10616</v>
      </c>
      <c r="I334" s="10">
        <v>3.87</v>
      </c>
      <c r="J334" s="10">
        <v>2.88</v>
      </c>
      <c r="K334" s="4">
        <v>15</v>
      </c>
    </row>
    <row r="335" spans="1:11" x14ac:dyDescent="0.3">
      <c r="A335" s="4">
        <v>334</v>
      </c>
      <c r="B335" t="s">
        <v>13</v>
      </c>
      <c r="C335" s="1">
        <v>44444</v>
      </c>
      <c r="D335" s="1"/>
      <c r="E335" t="s">
        <v>8</v>
      </c>
      <c r="F335" s="11">
        <f ca="1">IF(HR[[#This Row],[ Employee Status]]="exited",HR[[#This Row],[ExitDate]]-HR[[#This Row],[HireDate]],TODAY()-HR[[#This Row],[HireDate]])/365</f>
        <v>4.838356164383562</v>
      </c>
      <c r="G335" s="4" t="str">
        <f>IF(HR[[#This Row],[ Employee Status]]="still working","",YEAR(HR[[#This Row],[ExitDate]]))</f>
        <v/>
      </c>
      <c r="H335" s="6">
        <v>9796</v>
      </c>
      <c r="I335" s="10">
        <v>2.15</v>
      </c>
      <c r="J335" s="10">
        <v>4.33</v>
      </c>
      <c r="K335" s="4">
        <v>19</v>
      </c>
    </row>
    <row r="336" spans="1:11" x14ac:dyDescent="0.3">
      <c r="A336" s="4">
        <v>335</v>
      </c>
      <c r="B336" t="s">
        <v>10</v>
      </c>
      <c r="C336" s="1">
        <v>44109</v>
      </c>
      <c r="D336" s="1"/>
      <c r="E336" t="s">
        <v>8</v>
      </c>
      <c r="F336" s="11">
        <f ca="1">IF(HR[[#This Row],[ Employee Status]]="exited",HR[[#This Row],[ExitDate]]-HR[[#This Row],[HireDate]],TODAY()-HR[[#This Row],[HireDate]])/365</f>
        <v>5.7561643835616438</v>
      </c>
      <c r="G336" s="4" t="str">
        <f>IF(HR[[#This Row],[ Employee Status]]="still working","",YEAR(HR[[#This Row],[ExitDate]]))</f>
        <v/>
      </c>
      <c r="H336" s="6">
        <v>3340</v>
      </c>
      <c r="I336" s="10">
        <v>3.19</v>
      </c>
      <c r="J336" s="10">
        <v>1.18</v>
      </c>
      <c r="K336" s="4">
        <v>8</v>
      </c>
    </row>
    <row r="337" spans="1:11" x14ac:dyDescent="0.3">
      <c r="A337" s="4">
        <v>336</v>
      </c>
      <c r="B337" t="s">
        <v>7</v>
      </c>
      <c r="C337" s="1">
        <v>43383</v>
      </c>
      <c r="D337" s="1"/>
      <c r="E337" t="s">
        <v>8</v>
      </c>
      <c r="F337" s="11">
        <f ca="1">IF(HR[[#This Row],[ Employee Status]]="exited",HR[[#This Row],[ExitDate]]-HR[[#This Row],[HireDate]],TODAY()-HR[[#This Row],[HireDate]])/365</f>
        <v>7.7452054794520544</v>
      </c>
      <c r="G337" s="4" t="str">
        <f>IF(HR[[#This Row],[ Employee Status]]="still working","",YEAR(HR[[#This Row],[ExitDate]]))</f>
        <v/>
      </c>
      <c r="H337" s="6">
        <v>7912</v>
      </c>
      <c r="I337" s="10">
        <v>3.04</v>
      </c>
      <c r="J337" s="10">
        <v>3.03</v>
      </c>
      <c r="K337" s="4">
        <v>8</v>
      </c>
    </row>
    <row r="338" spans="1:11" x14ac:dyDescent="0.3">
      <c r="A338" s="4">
        <v>337</v>
      </c>
      <c r="B338" t="s">
        <v>14</v>
      </c>
      <c r="C338" s="1">
        <v>44261</v>
      </c>
      <c r="D338" s="1"/>
      <c r="E338" t="s">
        <v>8</v>
      </c>
      <c r="F338" s="11">
        <f ca="1">IF(HR[[#This Row],[ Employee Status]]="exited",HR[[#This Row],[ExitDate]]-HR[[#This Row],[HireDate]],TODAY()-HR[[#This Row],[HireDate]])/365</f>
        <v>5.3397260273972602</v>
      </c>
      <c r="G338" s="4" t="str">
        <f>IF(HR[[#This Row],[ Employee Status]]="still working","",YEAR(HR[[#This Row],[ExitDate]]))</f>
        <v/>
      </c>
      <c r="H338" s="6">
        <v>4517</v>
      </c>
      <c r="I338" s="10">
        <v>2.82</v>
      </c>
      <c r="J338" s="10">
        <v>2.58</v>
      </c>
      <c r="K338" s="4">
        <v>11</v>
      </c>
    </row>
    <row r="339" spans="1:11" x14ac:dyDescent="0.3">
      <c r="A339" s="4">
        <v>338</v>
      </c>
      <c r="B339" t="s">
        <v>7</v>
      </c>
      <c r="C339" s="1">
        <v>45381</v>
      </c>
      <c r="D339" s="1"/>
      <c r="E339" t="s">
        <v>8</v>
      </c>
      <c r="F339" s="11">
        <f ca="1">IF(HR[[#This Row],[ Employee Status]]="exited",HR[[#This Row],[ExitDate]]-HR[[#This Row],[HireDate]],TODAY()-HR[[#This Row],[HireDate]])/365</f>
        <v>2.2712328767123289</v>
      </c>
      <c r="G339" s="4" t="str">
        <f>IF(HR[[#This Row],[ Employee Status]]="still working","",YEAR(HR[[#This Row],[ExitDate]]))</f>
        <v/>
      </c>
      <c r="H339" s="6">
        <v>9132</v>
      </c>
      <c r="I339" s="10">
        <v>2.89</v>
      </c>
      <c r="J339" s="10">
        <v>3.87</v>
      </c>
      <c r="K339" s="4">
        <v>27</v>
      </c>
    </row>
    <row r="340" spans="1:11" x14ac:dyDescent="0.3">
      <c r="A340" s="4">
        <v>339</v>
      </c>
      <c r="B340" t="s">
        <v>13</v>
      </c>
      <c r="C340" s="1">
        <v>44461</v>
      </c>
      <c r="D340" s="1">
        <v>44811</v>
      </c>
      <c r="E340" t="s">
        <v>12</v>
      </c>
      <c r="F340" s="11">
        <f ca="1">IF(HR[[#This Row],[ Employee Status]]="exited",HR[[#This Row],[ExitDate]]-HR[[#This Row],[HireDate]],TODAY()-HR[[#This Row],[HireDate]])/365</f>
        <v>0.95890410958904104</v>
      </c>
      <c r="G340" s="4">
        <f>IF(HR[[#This Row],[ Employee Status]]="still working","",YEAR(HR[[#This Row],[ExitDate]]))</f>
        <v>2022</v>
      </c>
      <c r="H340" s="6">
        <v>11365</v>
      </c>
      <c r="I340" s="10">
        <v>2.1800000000000002</v>
      </c>
      <c r="J340" s="10">
        <v>3.42</v>
      </c>
      <c r="K340" s="4">
        <v>17</v>
      </c>
    </row>
    <row r="341" spans="1:11" x14ac:dyDescent="0.3">
      <c r="A341" s="4">
        <v>340</v>
      </c>
      <c r="B341" t="s">
        <v>9</v>
      </c>
      <c r="C341" s="1">
        <v>45136</v>
      </c>
      <c r="D341" s="1"/>
      <c r="E341" t="s">
        <v>8</v>
      </c>
      <c r="F341" s="11">
        <f ca="1">IF(HR[[#This Row],[ Employee Status]]="exited",HR[[#This Row],[ExitDate]]-HR[[#This Row],[HireDate]],TODAY()-HR[[#This Row],[HireDate]])/365</f>
        <v>2.9424657534246577</v>
      </c>
      <c r="G341" s="4" t="str">
        <f>IF(HR[[#This Row],[ Employee Status]]="still working","",YEAR(HR[[#This Row],[ExitDate]]))</f>
        <v/>
      </c>
      <c r="H341" s="6">
        <v>3989</v>
      </c>
      <c r="I341" s="10">
        <v>2.2799999999999998</v>
      </c>
      <c r="J341" s="10">
        <v>3.39</v>
      </c>
      <c r="K341" s="4">
        <v>7</v>
      </c>
    </row>
    <row r="342" spans="1:11" x14ac:dyDescent="0.3">
      <c r="A342" s="4">
        <v>341</v>
      </c>
      <c r="B342" t="s">
        <v>13</v>
      </c>
      <c r="C342" s="1">
        <v>43625</v>
      </c>
      <c r="D342" s="1">
        <v>43870</v>
      </c>
      <c r="E342" t="s">
        <v>12</v>
      </c>
      <c r="F342" s="11">
        <f ca="1">IF(HR[[#This Row],[ Employee Status]]="exited",HR[[#This Row],[ExitDate]]-HR[[#This Row],[HireDate]],TODAY()-HR[[#This Row],[HireDate]])/365</f>
        <v>0.67123287671232879</v>
      </c>
      <c r="G342" s="4">
        <f>IF(HR[[#This Row],[ Employee Status]]="still working","",YEAR(HR[[#This Row],[ExitDate]]))</f>
        <v>2020</v>
      </c>
      <c r="H342" s="6">
        <v>3331</v>
      </c>
      <c r="I342" s="10">
        <v>4.83</v>
      </c>
      <c r="J342" s="10">
        <v>3.67</v>
      </c>
      <c r="K342" s="4">
        <v>8</v>
      </c>
    </row>
    <row r="343" spans="1:11" x14ac:dyDescent="0.3">
      <c r="A343" s="4">
        <v>342</v>
      </c>
      <c r="B343" t="s">
        <v>14</v>
      </c>
      <c r="C343" s="1">
        <v>44666</v>
      </c>
      <c r="D343" s="1"/>
      <c r="E343" t="s">
        <v>8</v>
      </c>
      <c r="F343" s="11">
        <f ca="1">IF(HR[[#This Row],[ Employee Status]]="exited",HR[[#This Row],[ExitDate]]-HR[[#This Row],[HireDate]],TODAY()-HR[[#This Row],[HireDate]])/365</f>
        <v>4.2301369863013702</v>
      </c>
      <c r="G343" s="4" t="str">
        <f>IF(HR[[#This Row],[ Employee Status]]="still working","",YEAR(HR[[#This Row],[ExitDate]]))</f>
        <v/>
      </c>
      <c r="H343" s="6">
        <v>13058</v>
      </c>
      <c r="I343" s="10">
        <v>2.42</v>
      </c>
      <c r="J343" s="10">
        <v>1.46</v>
      </c>
      <c r="K343" s="4">
        <v>6</v>
      </c>
    </row>
    <row r="344" spans="1:11" x14ac:dyDescent="0.3">
      <c r="A344" s="4">
        <v>343</v>
      </c>
      <c r="B344" t="s">
        <v>9</v>
      </c>
      <c r="C344" s="1">
        <v>43406</v>
      </c>
      <c r="D344" s="1">
        <v>43831</v>
      </c>
      <c r="E344" t="s">
        <v>12</v>
      </c>
      <c r="F344" s="11">
        <f ca="1">IF(HR[[#This Row],[ Employee Status]]="exited",HR[[#This Row],[ExitDate]]-HR[[#This Row],[HireDate]],TODAY()-HR[[#This Row],[HireDate]])/365</f>
        <v>1.1643835616438356</v>
      </c>
      <c r="G344" s="4">
        <f>IF(HR[[#This Row],[ Employee Status]]="still working","",YEAR(HR[[#This Row],[ExitDate]]))</f>
        <v>2020</v>
      </c>
      <c r="H344" s="6">
        <v>13693</v>
      </c>
      <c r="I344" s="10">
        <v>2.2000000000000002</v>
      </c>
      <c r="J344" s="10">
        <v>3.14</v>
      </c>
      <c r="K344" s="4">
        <v>7</v>
      </c>
    </row>
    <row r="345" spans="1:11" x14ac:dyDescent="0.3">
      <c r="A345" s="4">
        <v>344</v>
      </c>
      <c r="B345" t="s">
        <v>13</v>
      </c>
      <c r="C345" s="1">
        <v>43189</v>
      </c>
      <c r="D345" s="1">
        <v>44250</v>
      </c>
      <c r="E345" t="s">
        <v>12</v>
      </c>
      <c r="F345" s="11">
        <f ca="1">IF(HR[[#This Row],[ Employee Status]]="exited",HR[[#This Row],[ExitDate]]-HR[[#This Row],[HireDate]],TODAY()-HR[[#This Row],[HireDate]])/365</f>
        <v>2.9068493150684933</v>
      </c>
      <c r="G345" s="4">
        <f>IF(HR[[#This Row],[ Employee Status]]="still working","",YEAR(HR[[#This Row],[ExitDate]]))</f>
        <v>2021</v>
      </c>
      <c r="H345" s="6">
        <v>5466</v>
      </c>
      <c r="I345" s="10">
        <v>3.2</v>
      </c>
      <c r="J345" s="10">
        <v>4.6399999999999997</v>
      </c>
      <c r="K345" s="4">
        <v>29</v>
      </c>
    </row>
    <row r="346" spans="1:11" x14ac:dyDescent="0.3">
      <c r="A346" s="4">
        <v>345</v>
      </c>
      <c r="B346" t="s">
        <v>13</v>
      </c>
      <c r="C346" s="1">
        <v>45177</v>
      </c>
      <c r="D346" s="1"/>
      <c r="E346" t="s">
        <v>8</v>
      </c>
      <c r="F346" s="11">
        <f ca="1">IF(HR[[#This Row],[ Employee Status]]="exited",HR[[#This Row],[ExitDate]]-HR[[#This Row],[HireDate]],TODAY()-HR[[#This Row],[HireDate]])/365</f>
        <v>2.8301369863013699</v>
      </c>
      <c r="G346" s="4" t="str">
        <f>IF(HR[[#This Row],[ Employee Status]]="still working","",YEAR(HR[[#This Row],[ExitDate]]))</f>
        <v/>
      </c>
      <c r="H346" s="6">
        <v>10446</v>
      </c>
      <c r="I346" s="10">
        <v>3.16</v>
      </c>
      <c r="J346" s="10">
        <v>4.41</v>
      </c>
      <c r="K346" s="4">
        <v>3</v>
      </c>
    </row>
    <row r="347" spans="1:11" x14ac:dyDescent="0.3">
      <c r="A347" s="4">
        <v>346</v>
      </c>
      <c r="B347" t="s">
        <v>13</v>
      </c>
      <c r="C347" s="1">
        <v>44868</v>
      </c>
      <c r="D347" s="1"/>
      <c r="E347" t="s">
        <v>8</v>
      </c>
      <c r="F347" s="11">
        <f ca="1">IF(HR[[#This Row],[ Employee Status]]="exited",HR[[#This Row],[ExitDate]]-HR[[#This Row],[HireDate]],TODAY()-HR[[#This Row],[HireDate]])/365</f>
        <v>3.6767123287671235</v>
      </c>
      <c r="G347" s="4" t="str">
        <f>IF(HR[[#This Row],[ Employee Status]]="still working","",YEAR(HR[[#This Row],[ExitDate]]))</f>
        <v/>
      </c>
      <c r="H347" s="6">
        <v>7020</v>
      </c>
      <c r="I347" s="10">
        <v>2.68</v>
      </c>
      <c r="J347" s="10">
        <v>2.54</v>
      </c>
      <c r="K347" s="4">
        <v>2</v>
      </c>
    </row>
    <row r="348" spans="1:11" x14ac:dyDescent="0.3">
      <c r="A348" s="4">
        <v>347</v>
      </c>
      <c r="B348" t="s">
        <v>13</v>
      </c>
      <c r="C348" s="1">
        <v>45485</v>
      </c>
      <c r="D348" s="1">
        <v>46132</v>
      </c>
      <c r="E348" t="s">
        <v>12</v>
      </c>
      <c r="F348" s="11">
        <f ca="1">IF(HR[[#This Row],[ Employee Status]]="exited",HR[[#This Row],[ExitDate]]-HR[[#This Row],[HireDate]],TODAY()-HR[[#This Row],[HireDate]])/365</f>
        <v>1.7726027397260273</v>
      </c>
      <c r="G348" s="4">
        <f>IF(HR[[#This Row],[ Employee Status]]="still working","",YEAR(HR[[#This Row],[ExitDate]]))</f>
        <v>2026</v>
      </c>
      <c r="H348" s="6">
        <v>6134</v>
      </c>
      <c r="I348" s="10">
        <v>2.04</v>
      </c>
      <c r="J348" s="10">
        <v>2.48</v>
      </c>
      <c r="K348" s="4">
        <v>21</v>
      </c>
    </row>
    <row r="349" spans="1:11" x14ac:dyDescent="0.3">
      <c r="A349" s="4">
        <v>348</v>
      </c>
      <c r="B349" t="s">
        <v>13</v>
      </c>
      <c r="C349" s="1">
        <v>45455</v>
      </c>
      <c r="D349" s="1"/>
      <c r="E349" t="s">
        <v>8</v>
      </c>
      <c r="F349" s="11">
        <f ca="1">IF(HR[[#This Row],[ Employee Status]]="exited",HR[[#This Row],[ExitDate]]-HR[[#This Row],[HireDate]],TODAY()-HR[[#This Row],[HireDate]])/365</f>
        <v>2.0684931506849313</v>
      </c>
      <c r="G349" s="4" t="str">
        <f>IF(HR[[#This Row],[ Employee Status]]="still working","",YEAR(HR[[#This Row],[ExitDate]]))</f>
        <v/>
      </c>
      <c r="H349" s="6">
        <v>13135</v>
      </c>
      <c r="I349" s="10">
        <v>3.29</v>
      </c>
      <c r="J349" s="10">
        <v>1.57</v>
      </c>
      <c r="K349" s="4">
        <v>23</v>
      </c>
    </row>
    <row r="350" spans="1:11" x14ac:dyDescent="0.3">
      <c r="A350" s="4">
        <v>349</v>
      </c>
      <c r="B350" t="s">
        <v>9</v>
      </c>
      <c r="C350" s="1">
        <v>43301</v>
      </c>
      <c r="D350" s="1">
        <v>44693</v>
      </c>
      <c r="E350" t="s">
        <v>12</v>
      </c>
      <c r="F350" s="11">
        <f ca="1">IF(HR[[#This Row],[ Employee Status]]="exited",HR[[#This Row],[ExitDate]]-HR[[#This Row],[HireDate]],TODAY()-HR[[#This Row],[HireDate]])/365</f>
        <v>3.8136986301369862</v>
      </c>
      <c r="G350" s="4">
        <f>IF(HR[[#This Row],[ Employee Status]]="still working","",YEAR(HR[[#This Row],[ExitDate]]))</f>
        <v>2022</v>
      </c>
      <c r="H350" s="6">
        <v>8960</v>
      </c>
      <c r="I350" s="10">
        <v>3.91</v>
      </c>
      <c r="J350" s="10">
        <v>2.36</v>
      </c>
      <c r="K350" s="4">
        <v>26</v>
      </c>
    </row>
    <row r="351" spans="1:11" x14ac:dyDescent="0.3">
      <c r="A351" s="4">
        <v>350</v>
      </c>
      <c r="B351" t="s">
        <v>13</v>
      </c>
      <c r="C351" s="1">
        <v>45466</v>
      </c>
      <c r="D351" s="1"/>
      <c r="E351" t="s">
        <v>8</v>
      </c>
      <c r="F351" s="11">
        <f ca="1">IF(HR[[#This Row],[ Employee Status]]="exited",HR[[#This Row],[ExitDate]]-HR[[#This Row],[HireDate]],TODAY()-HR[[#This Row],[HireDate]])/365</f>
        <v>2.0383561643835617</v>
      </c>
      <c r="G351" s="4" t="str">
        <f>IF(HR[[#This Row],[ Employee Status]]="still working","",YEAR(HR[[#This Row],[ExitDate]]))</f>
        <v/>
      </c>
      <c r="H351" s="6">
        <v>14120</v>
      </c>
      <c r="I351" s="10">
        <v>3.09</v>
      </c>
      <c r="J351" s="10">
        <v>1.87</v>
      </c>
      <c r="K351" s="4">
        <v>11</v>
      </c>
    </row>
    <row r="352" spans="1:11" x14ac:dyDescent="0.3">
      <c r="A352" s="4">
        <v>351</v>
      </c>
      <c r="B352" t="s">
        <v>9</v>
      </c>
      <c r="C352" s="1">
        <v>44893</v>
      </c>
      <c r="D352" s="1"/>
      <c r="E352" t="s">
        <v>8</v>
      </c>
      <c r="F352" s="11">
        <f ca="1">IF(HR[[#This Row],[ Employee Status]]="exited",HR[[#This Row],[ExitDate]]-HR[[#This Row],[HireDate]],TODAY()-HR[[#This Row],[HireDate]])/365</f>
        <v>3.6082191780821917</v>
      </c>
      <c r="G352" s="4" t="str">
        <f>IF(HR[[#This Row],[ Employee Status]]="still working","",YEAR(HR[[#This Row],[ExitDate]]))</f>
        <v/>
      </c>
      <c r="H352" s="6">
        <v>8744</v>
      </c>
      <c r="I352" s="10">
        <v>2.08</v>
      </c>
      <c r="J352" s="10">
        <v>3.02</v>
      </c>
      <c r="K352" s="4">
        <v>10</v>
      </c>
    </row>
    <row r="353" spans="1:11" x14ac:dyDescent="0.3">
      <c r="A353" s="4">
        <v>352</v>
      </c>
      <c r="B353" t="s">
        <v>10</v>
      </c>
      <c r="C353" s="1">
        <v>43315</v>
      </c>
      <c r="D353" s="1"/>
      <c r="E353" t="s">
        <v>8</v>
      </c>
      <c r="F353" s="11">
        <f ca="1">IF(HR[[#This Row],[ Employee Status]]="exited",HR[[#This Row],[ExitDate]]-HR[[#This Row],[HireDate]],TODAY()-HR[[#This Row],[HireDate]])/365</f>
        <v>7.9315068493150687</v>
      </c>
      <c r="G353" s="4" t="str">
        <f>IF(HR[[#This Row],[ Employee Status]]="still working","",YEAR(HR[[#This Row],[ExitDate]]))</f>
        <v/>
      </c>
      <c r="H353" s="6">
        <v>12370</v>
      </c>
      <c r="I353" s="10">
        <v>3.24</v>
      </c>
      <c r="J353" s="10">
        <v>2.58</v>
      </c>
      <c r="K353" s="4">
        <v>5</v>
      </c>
    </row>
    <row r="354" spans="1:11" x14ac:dyDescent="0.3">
      <c r="A354" s="4">
        <v>353</v>
      </c>
      <c r="B354" t="s">
        <v>7</v>
      </c>
      <c r="C354" s="1">
        <v>44106</v>
      </c>
      <c r="D354" s="1">
        <v>44509</v>
      </c>
      <c r="E354" t="s">
        <v>12</v>
      </c>
      <c r="F354" s="11">
        <f ca="1">IF(HR[[#This Row],[ Employee Status]]="exited",HR[[#This Row],[ExitDate]]-HR[[#This Row],[HireDate]],TODAY()-HR[[#This Row],[HireDate]])/365</f>
        <v>1.1041095890410959</v>
      </c>
      <c r="G354" s="4">
        <f>IF(HR[[#This Row],[ Employee Status]]="still working","",YEAR(HR[[#This Row],[ExitDate]]))</f>
        <v>2021</v>
      </c>
      <c r="H354" s="6">
        <v>7009</v>
      </c>
      <c r="I354" s="10">
        <v>4.87</v>
      </c>
      <c r="J354" s="10">
        <v>2.2599999999999998</v>
      </c>
      <c r="K354" s="4">
        <v>22</v>
      </c>
    </row>
    <row r="355" spans="1:11" x14ac:dyDescent="0.3">
      <c r="A355" s="4">
        <v>354</v>
      </c>
      <c r="B355" t="s">
        <v>10</v>
      </c>
      <c r="C355" s="1">
        <v>45242</v>
      </c>
      <c r="D355" s="1"/>
      <c r="E355" t="s">
        <v>8</v>
      </c>
      <c r="F355" s="11">
        <f ca="1">IF(HR[[#This Row],[ Employee Status]]="exited",HR[[#This Row],[ExitDate]]-HR[[#This Row],[HireDate]],TODAY()-HR[[#This Row],[HireDate]])/365</f>
        <v>2.6520547945205482</v>
      </c>
      <c r="G355" s="4" t="str">
        <f>IF(HR[[#This Row],[ Employee Status]]="still working","",YEAR(HR[[#This Row],[ExitDate]]))</f>
        <v/>
      </c>
      <c r="H355" s="6">
        <v>9139</v>
      </c>
      <c r="I355" s="10">
        <v>3.82</v>
      </c>
      <c r="J355" s="10">
        <v>1.61</v>
      </c>
      <c r="K355" s="4">
        <v>16</v>
      </c>
    </row>
    <row r="356" spans="1:11" x14ac:dyDescent="0.3">
      <c r="A356" s="4">
        <v>355</v>
      </c>
      <c r="B356" t="s">
        <v>11</v>
      </c>
      <c r="C356" s="1">
        <v>43733</v>
      </c>
      <c r="D356" s="1"/>
      <c r="E356" t="s">
        <v>8</v>
      </c>
      <c r="F356" s="11">
        <f ca="1">IF(HR[[#This Row],[ Employee Status]]="exited",HR[[#This Row],[ExitDate]]-HR[[#This Row],[HireDate]],TODAY()-HR[[#This Row],[HireDate]])/365</f>
        <v>6.7863013698630139</v>
      </c>
      <c r="G356" s="4" t="str">
        <f>IF(HR[[#This Row],[ Employee Status]]="still working","",YEAR(HR[[#This Row],[ExitDate]]))</f>
        <v/>
      </c>
      <c r="H356" s="6">
        <v>14332</v>
      </c>
      <c r="I356" s="10">
        <v>3.63</v>
      </c>
      <c r="J356" s="10">
        <v>4.05</v>
      </c>
      <c r="K356" s="4">
        <v>26</v>
      </c>
    </row>
    <row r="357" spans="1:11" x14ac:dyDescent="0.3">
      <c r="A357" s="4">
        <v>356</v>
      </c>
      <c r="B357" t="s">
        <v>14</v>
      </c>
      <c r="C357" s="1">
        <v>44413</v>
      </c>
      <c r="D357" s="1">
        <v>45692</v>
      </c>
      <c r="E357" t="s">
        <v>12</v>
      </c>
      <c r="F357" s="11">
        <f ca="1">IF(HR[[#This Row],[ Employee Status]]="exited",HR[[#This Row],[ExitDate]]-HR[[#This Row],[HireDate]],TODAY()-HR[[#This Row],[HireDate]])/365</f>
        <v>3.504109589041096</v>
      </c>
      <c r="G357" s="4">
        <f>IF(HR[[#This Row],[ Employee Status]]="still working","",YEAR(HR[[#This Row],[ExitDate]]))</f>
        <v>2025</v>
      </c>
      <c r="H357" s="6">
        <v>12569</v>
      </c>
      <c r="I357" s="10">
        <v>2.17</v>
      </c>
      <c r="J357" s="10">
        <v>2.37</v>
      </c>
      <c r="K357" s="4">
        <v>11</v>
      </c>
    </row>
    <row r="358" spans="1:11" x14ac:dyDescent="0.3">
      <c r="A358" s="4">
        <v>357</v>
      </c>
      <c r="B358" t="s">
        <v>14</v>
      </c>
      <c r="C358" s="1">
        <v>43193</v>
      </c>
      <c r="D358" s="1"/>
      <c r="E358" t="s">
        <v>8</v>
      </c>
      <c r="F358" s="11">
        <f ca="1">IF(HR[[#This Row],[ Employee Status]]="exited",HR[[#This Row],[ExitDate]]-HR[[#This Row],[HireDate]],TODAY()-HR[[#This Row],[HireDate]])/365</f>
        <v>8.2657534246575342</v>
      </c>
      <c r="G358" s="4" t="str">
        <f>IF(HR[[#This Row],[ Employee Status]]="still working","",YEAR(HR[[#This Row],[ExitDate]]))</f>
        <v/>
      </c>
      <c r="H358" s="6">
        <v>3358</v>
      </c>
      <c r="I358" s="10">
        <v>3.75</v>
      </c>
      <c r="J358" s="10">
        <v>5</v>
      </c>
      <c r="K358" s="4">
        <v>12</v>
      </c>
    </row>
    <row r="359" spans="1:11" x14ac:dyDescent="0.3">
      <c r="A359" s="4">
        <v>358</v>
      </c>
      <c r="B359" t="s">
        <v>14</v>
      </c>
      <c r="C359" s="1">
        <v>43372</v>
      </c>
      <c r="D359" s="1"/>
      <c r="E359" t="s">
        <v>8</v>
      </c>
      <c r="F359" s="11">
        <f ca="1">IF(HR[[#This Row],[ Employee Status]]="exited",HR[[#This Row],[ExitDate]]-HR[[#This Row],[HireDate]],TODAY()-HR[[#This Row],[HireDate]])/365</f>
        <v>7.7753424657534245</v>
      </c>
      <c r="G359" s="4" t="str">
        <f>IF(HR[[#This Row],[ Employee Status]]="still working","",YEAR(HR[[#This Row],[ExitDate]]))</f>
        <v/>
      </c>
      <c r="H359" s="6">
        <v>9652</v>
      </c>
      <c r="I359" s="10">
        <v>3.87</v>
      </c>
      <c r="J359" s="10">
        <v>3.28</v>
      </c>
      <c r="K359" s="4">
        <v>25</v>
      </c>
    </row>
    <row r="360" spans="1:11" x14ac:dyDescent="0.3">
      <c r="A360" s="4">
        <v>359</v>
      </c>
      <c r="B360" t="s">
        <v>7</v>
      </c>
      <c r="C360" s="1">
        <v>44408</v>
      </c>
      <c r="D360" s="1"/>
      <c r="E360" t="s">
        <v>8</v>
      </c>
      <c r="F360" s="11">
        <f ca="1">IF(HR[[#This Row],[ Employee Status]]="exited",HR[[#This Row],[ExitDate]]-HR[[#This Row],[HireDate]],TODAY()-HR[[#This Row],[HireDate]])/365</f>
        <v>4.9369863013698634</v>
      </c>
      <c r="G360" s="4" t="str">
        <f>IF(HR[[#This Row],[ Employee Status]]="still working","",YEAR(HR[[#This Row],[ExitDate]]))</f>
        <v/>
      </c>
      <c r="H360" s="6">
        <v>8960</v>
      </c>
      <c r="I360" s="10">
        <v>3.63</v>
      </c>
      <c r="J360" s="10">
        <v>1.91</v>
      </c>
      <c r="K360" s="4">
        <v>26</v>
      </c>
    </row>
    <row r="361" spans="1:11" x14ac:dyDescent="0.3">
      <c r="A361" s="4">
        <v>360</v>
      </c>
      <c r="B361" t="s">
        <v>14</v>
      </c>
      <c r="C361" s="1">
        <v>44918</v>
      </c>
      <c r="D361" s="1">
        <v>45612</v>
      </c>
      <c r="E361" t="s">
        <v>12</v>
      </c>
      <c r="F361" s="11">
        <f ca="1">IF(HR[[#This Row],[ Employee Status]]="exited",HR[[#This Row],[ExitDate]]-HR[[#This Row],[HireDate]],TODAY()-HR[[#This Row],[HireDate]])/365</f>
        <v>1.9013698630136986</v>
      </c>
      <c r="G361" s="4">
        <f>IF(HR[[#This Row],[ Employee Status]]="still working","",YEAR(HR[[#This Row],[ExitDate]]))</f>
        <v>2024</v>
      </c>
      <c r="H361" s="6">
        <v>13037</v>
      </c>
      <c r="I361" s="10">
        <v>2.39</v>
      </c>
      <c r="J361" s="10">
        <v>4.16</v>
      </c>
      <c r="K361" s="4">
        <v>27</v>
      </c>
    </row>
    <row r="362" spans="1:11" x14ac:dyDescent="0.3">
      <c r="A362" s="4">
        <v>361</v>
      </c>
      <c r="B362" t="s">
        <v>9</v>
      </c>
      <c r="C362" s="1">
        <v>45165</v>
      </c>
      <c r="D362" s="1"/>
      <c r="E362" t="s">
        <v>8</v>
      </c>
      <c r="F362" s="11">
        <f ca="1">IF(HR[[#This Row],[ Employee Status]]="exited",HR[[#This Row],[ExitDate]]-HR[[#This Row],[HireDate]],TODAY()-HR[[#This Row],[HireDate]])/365</f>
        <v>2.8630136986301369</v>
      </c>
      <c r="G362" s="4" t="str">
        <f>IF(HR[[#This Row],[ Employee Status]]="still working","",YEAR(HR[[#This Row],[ExitDate]]))</f>
        <v/>
      </c>
      <c r="H362" s="6">
        <v>4960</v>
      </c>
      <c r="I362" s="10">
        <v>2.4500000000000002</v>
      </c>
      <c r="J362" s="10">
        <v>2.85</v>
      </c>
      <c r="K362" s="4">
        <v>15</v>
      </c>
    </row>
    <row r="363" spans="1:11" x14ac:dyDescent="0.3">
      <c r="A363" s="4">
        <v>362</v>
      </c>
      <c r="B363" t="s">
        <v>9</v>
      </c>
      <c r="C363" s="1">
        <v>43579</v>
      </c>
      <c r="D363" s="1"/>
      <c r="E363" t="s">
        <v>8</v>
      </c>
      <c r="F363" s="11">
        <f ca="1">IF(HR[[#This Row],[ Employee Status]]="exited",HR[[#This Row],[ExitDate]]-HR[[#This Row],[HireDate]],TODAY()-HR[[#This Row],[HireDate]])/365</f>
        <v>7.2082191780821914</v>
      </c>
      <c r="G363" s="4" t="str">
        <f>IF(HR[[#This Row],[ Employee Status]]="still working","",YEAR(HR[[#This Row],[ExitDate]]))</f>
        <v/>
      </c>
      <c r="H363" s="6">
        <v>10166</v>
      </c>
      <c r="I363" s="10">
        <v>3.57</v>
      </c>
      <c r="J363" s="10">
        <v>3.25</v>
      </c>
      <c r="K363" s="4">
        <v>22</v>
      </c>
    </row>
    <row r="364" spans="1:11" x14ac:dyDescent="0.3">
      <c r="A364" s="4">
        <v>363</v>
      </c>
      <c r="B364" t="s">
        <v>14</v>
      </c>
      <c r="C364" s="1">
        <v>45219</v>
      </c>
      <c r="D364" s="1"/>
      <c r="E364" t="s">
        <v>8</v>
      </c>
      <c r="F364" s="11">
        <f ca="1">IF(HR[[#This Row],[ Employee Status]]="exited",HR[[#This Row],[ExitDate]]-HR[[#This Row],[HireDate]],TODAY()-HR[[#This Row],[HireDate]])/365</f>
        <v>2.7150684931506848</v>
      </c>
      <c r="G364" s="4" t="str">
        <f>IF(HR[[#This Row],[ Employee Status]]="still working","",YEAR(HR[[#This Row],[ExitDate]]))</f>
        <v/>
      </c>
      <c r="H364" s="6">
        <v>5808</v>
      </c>
      <c r="I364" s="10">
        <v>4.68</v>
      </c>
      <c r="J364" s="10">
        <v>2.82</v>
      </c>
      <c r="K364" s="4">
        <v>27</v>
      </c>
    </row>
    <row r="365" spans="1:11" x14ac:dyDescent="0.3">
      <c r="A365" s="4">
        <v>364</v>
      </c>
      <c r="B365" t="s">
        <v>9</v>
      </c>
      <c r="C365" s="1">
        <v>43428</v>
      </c>
      <c r="D365" s="1">
        <v>44521</v>
      </c>
      <c r="E365" t="s">
        <v>12</v>
      </c>
      <c r="F365" s="11">
        <f ca="1">IF(HR[[#This Row],[ Employee Status]]="exited",HR[[#This Row],[ExitDate]]-HR[[#This Row],[HireDate]],TODAY()-HR[[#This Row],[HireDate]])/365</f>
        <v>2.9945205479452053</v>
      </c>
      <c r="G365" s="4">
        <f>IF(HR[[#This Row],[ Employee Status]]="still working","",YEAR(HR[[#This Row],[ExitDate]]))</f>
        <v>2021</v>
      </c>
      <c r="H365" s="6">
        <v>12094</v>
      </c>
      <c r="I365" s="10">
        <v>2.33</v>
      </c>
      <c r="J365" s="10">
        <v>4.42</v>
      </c>
      <c r="K365" s="4">
        <v>16</v>
      </c>
    </row>
    <row r="366" spans="1:11" x14ac:dyDescent="0.3">
      <c r="A366" s="4">
        <v>365</v>
      </c>
      <c r="B366" t="s">
        <v>13</v>
      </c>
      <c r="C366" s="1">
        <v>45432</v>
      </c>
      <c r="D366" s="1"/>
      <c r="E366" t="s">
        <v>8</v>
      </c>
      <c r="F366" s="11">
        <f ca="1">IF(HR[[#This Row],[ Employee Status]]="exited",HR[[#This Row],[ExitDate]]-HR[[#This Row],[HireDate]],TODAY()-HR[[#This Row],[HireDate]])/365</f>
        <v>2.1315068493150684</v>
      </c>
      <c r="G366" s="4" t="str">
        <f>IF(HR[[#This Row],[ Employee Status]]="still working","",YEAR(HR[[#This Row],[ExitDate]]))</f>
        <v/>
      </c>
      <c r="H366" s="6">
        <v>6935</v>
      </c>
      <c r="I366" s="10">
        <v>2.77</v>
      </c>
      <c r="J366" s="10">
        <v>1.1200000000000001</v>
      </c>
      <c r="K366" s="4">
        <v>14</v>
      </c>
    </row>
    <row r="367" spans="1:11" x14ac:dyDescent="0.3">
      <c r="A367" s="4">
        <v>366</v>
      </c>
      <c r="B367" t="s">
        <v>10</v>
      </c>
      <c r="C367" s="1">
        <v>44491</v>
      </c>
      <c r="D367" s="1"/>
      <c r="E367" t="s">
        <v>8</v>
      </c>
      <c r="F367" s="11">
        <f ca="1">IF(HR[[#This Row],[ Employee Status]]="exited",HR[[#This Row],[ExitDate]]-HR[[#This Row],[HireDate]],TODAY()-HR[[#This Row],[HireDate]])/365</f>
        <v>4.7095890410958905</v>
      </c>
      <c r="G367" s="4" t="str">
        <f>IF(HR[[#This Row],[ Employee Status]]="still working","",YEAR(HR[[#This Row],[ExitDate]]))</f>
        <v/>
      </c>
      <c r="H367" s="6">
        <v>13719</v>
      </c>
      <c r="I367" s="10">
        <v>4.62</v>
      </c>
      <c r="J367" s="10">
        <v>3.11</v>
      </c>
      <c r="K367" s="4">
        <v>29</v>
      </c>
    </row>
    <row r="368" spans="1:11" x14ac:dyDescent="0.3">
      <c r="A368" s="4">
        <v>367</v>
      </c>
      <c r="B368" t="s">
        <v>9</v>
      </c>
      <c r="C368" s="1">
        <v>45210</v>
      </c>
      <c r="D368" s="1"/>
      <c r="E368" t="s">
        <v>8</v>
      </c>
      <c r="F368" s="11">
        <f ca="1">IF(HR[[#This Row],[ Employee Status]]="exited",HR[[#This Row],[ExitDate]]-HR[[#This Row],[HireDate]],TODAY()-HR[[#This Row],[HireDate]])/365</f>
        <v>2.7397260273972601</v>
      </c>
      <c r="G368" s="4" t="str">
        <f>IF(HR[[#This Row],[ Employee Status]]="still working","",YEAR(HR[[#This Row],[ExitDate]]))</f>
        <v/>
      </c>
      <c r="H368" s="6">
        <v>9337</v>
      </c>
      <c r="I368" s="10">
        <v>3.59</v>
      </c>
      <c r="J368" s="10">
        <v>4.17</v>
      </c>
      <c r="K368" s="4">
        <v>2</v>
      </c>
    </row>
    <row r="369" spans="1:11" x14ac:dyDescent="0.3">
      <c r="A369" s="4">
        <v>368</v>
      </c>
      <c r="B369" t="s">
        <v>10</v>
      </c>
      <c r="C369" s="1">
        <v>44681</v>
      </c>
      <c r="D369" s="1">
        <v>44876</v>
      </c>
      <c r="E369" t="s">
        <v>12</v>
      </c>
      <c r="F369" s="11">
        <f ca="1">IF(HR[[#This Row],[ Employee Status]]="exited",HR[[#This Row],[ExitDate]]-HR[[#This Row],[HireDate]],TODAY()-HR[[#This Row],[HireDate]])/365</f>
        <v>0.53424657534246578</v>
      </c>
      <c r="G369" s="4">
        <f>IF(HR[[#This Row],[ Employee Status]]="still working","",YEAR(HR[[#This Row],[ExitDate]]))</f>
        <v>2022</v>
      </c>
      <c r="H369" s="6">
        <v>7208</v>
      </c>
      <c r="I369" s="10">
        <v>2.13</v>
      </c>
      <c r="J369" s="10">
        <v>2.37</v>
      </c>
      <c r="K369" s="4">
        <v>4</v>
      </c>
    </row>
    <row r="370" spans="1:11" x14ac:dyDescent="0.3">
      <c r="A370" s="4">
        <v>369</v>
      </c>
      <c r="B370" t="s">
        <v>7</v>
      </c>
      <c r="C370" s="1">
        <v>45605</v>
      </c>
      <c r="D370" s="1"/>
      <c r="E370" t="s">
        <v>8</v>
      </c>
      <c r="F370" s="11">
        <f ca="1">IF(HR[[#This Row],[ Employee Status]]="exited",HR[[#This Row],[ExitDate]]-HR[[#This Row],[HireDate]],TODAY()-HR[[#This Row],[HireDate]])/365</f>
        <v>1.6575342465753424</v>
      </c>
      <c r="G370" s="4" t="str">
        <f>IF(HR[[#This Row],[ Employee Status]]="still working","",YEAR(HR[[#This Row],[ExitDate]]))</f>
        <v/>
      </c>
      <c r="H370" s="6">
        <v>7236</v>
      </c>
      <c r="I370" s="10">
        <v>3.98</v>
      </c>
      <c r="J370" s="10">
        <v>4.0599999999999996</v>
      </c>
      <c r="K370" s="4">
        <v>3</v>
      </c>
    </row>
    <row r="371" spans="1:11" x14ac:dyDescent="0.3">
      <c r="A371" s="4">
        <v>370</v>
      </c>
      <c r="B371" t="s">
        <v>13</v>
      </c>
      <c r="C371" s="1">
        <v>44786</v>
      </c>
      <c r="D371" s="1"/>
      <c r="E371" t="s">
        <v>8</v>
      </c>
      <c r="F371" s="11">
        <f ca="1">IF(HR[[#This Row],[ Employee Status]]="exited",HR[[#This Row],[ExitDate]]-HR[[#This Row],[HireDate]],TODAY()-HR[[#This Row],[HireDate]])/365</f>
        <v>3.9013698630136986</v>
      </c>
      <c r="G371" s="4" t="str">
        <f>IF(HR[[#This Row],[ Employee Status]]="still working","",YEAR(HR[[#This Row],[ExitDate]]))</f>
        <v/>
      </c>
      <c r="H371" s="6">
        <v>7897</v>
      </c>
      <c r="I371" s="10">
        <v>3.22</v>
      </c>
      <c r="J371" s="10">
        <v>1.26</v>
      </c>
      <c r="K371" s="4">
        <v>2</v>
      </c>
    </row>
    <row r="372" spans="1:11" x14ac:dyDescent="0.3">
      <c r="A372" s="4">
        <v>371</v>
      </c>
      <c r="B372" t="s">
        <v>11</v>
      </c>
      <c r="C372" s="1">
        <v>43847</v>
      </c>
      <c r="D372" s="1"/>
      <c r="E372" t="s">
        <v>8</v>
      </c>
      <c r="F372" s="11">
        <f ca="1">IF(HR[[#This Row],[ Employee Status]]="exited",HR[[#This Row],[ExitDate]]-HR[[#This Row],[HireDate]],TODAY()-HR[[#This Row],[HireDate]])/365</f>
        <v>6.4739726027397264</v>
      </c>
      <c r="G372" s="4" t="str">
        <f>IF(HR[[#This Row],[ Employee Status]]="still working","",YEAR(HR[[#This Row],[ExitDate]]))</f>
        <v/>
      </c>
      <c r="H372" s="6">
        <v>3187</v>
      </c>
      <c r="I372" s="10">
        <v>2.02</v>
      </c>
      <c r="J372" s="10">
        <v>1.4</v>
      </c>
      <c r="K372" s="4">
        <v>5</v>
      </c>
    </row>
    <row r="373" spans="1:11" x14ac:dyDescent="0.3">
      <c r="A373" s="4">
        <v>372</v>
      </c>
      <c r="B373" t="s">
        <v>13</v>
      </c>
      <c r="C373" s="1">
        <v>44478</v>
      </c>
      <c r="D373" s="1"/>
      <c r="E373" t="s">
        <v>8</v>
      </c>
      <c r="F373" s="11">
        <f ca="1">IF(HR[[#This Row],[ Employee Status]]="exited",HR[[#This Row],[ExitDate]]-HR[[#This Row],[HireDate]],TODAY()-HR[[#This Row],[HireDate]])/365</f>
        <v>4.7452054794520544</v>
      </c>
      <c r="G373" s="4" t="str">
        <f>IF(HR[[#This Row],[ Employee Status]]="still working","",YEAR(HR[[#This Row],[ExitDate]]))</f>
        <v/>
      </c>
      <c r="H373" s="6">
        <v>13614</v>
      </c>
      <c r="I373" s="10">
        <v>3.43</v>
      </c>
      <c r="J373" s="10">
        <v>1.58</v>
      </c>
      <c r="K373" s="4">
        <v>25</v>
      </c>
    </row>
    <row r="374" spans="1:11" x14ac:dyDescent="0.3">
      <c r="A374" s="4">
        <v>373</v>
      </c>
      <c r="B374" t="s">
        <v>9</v>
      </c>
      <c r="C374" s="1">
        <v>43510</v>
      </c>
      <c r="D374" s="1"/>
      <c r="E374" t="s">
        <v>8</v>
      </c>
      <c r="F374" s="11">
        <f ca="1">IF(HR[[#This Row],[ Employee Status]]="exited",HR[[#This Row],[ExitDate]]-HR[[#This Row],[HireDate]],TODAY()-HR[[#This Row],[HireDate]])/365</f>
        <v>7.397260273972603</v>
      </c>
      <c r="G374" s="4" t="str">
        <f>IF(HR[[#This Row],[ Employee Status]]="still working","",YEAR(HR[[#This Row],[ExitDate]]))</f>
        <v/>
      </c>
      <c r="H374" s="6">
        <v>8409</v>
      </c>
      <c r="I374" s="10">
        <v>4.79</v>
      </c>
      <c r="J374" s="10">
        <v>2.62</v>
      </c>
      <c r="K374" s="4">
        <v>26</v>
      </c>
    </row>
    <row r="375" spans="1:11" x14ac:dyDescent="0.3">
      <c r="A375" s="4">
        <v>374</v>
      </c>
      <c r="B375" t="s">
        <v>7</v>
      </c>
      <c r="C375" s="1">
        <v>43720</v>
      </c>
      <c r="D375" s="1"/>
      <c r="E375" t="s">
        <v>8</v>
      </c>
      <c r="F375" s="11">
        <f ca="1">IF(HR[[#This Row],[ Employee Status]]="exited",HR[[#This Row],[ExitDate]]-HR[[#This Row],[HireDate]],TODAY()-HR[[#This Row],[HireDate]])/365</f>
        <v>6.8219178082191778</v>
      </c>
      <c r="G375" s="4" t="str">
        <f>IF(HR[[#This Row],[ Employee Status]]="still working","",YEAR(HR[[#This Row],[ExitDate]]))</f>
        <v/>
      </c>
      <c r="H375" s="6">
        <v>5368</v>
      </c>
      <c r="I375" s="10">
        <v>2.1</v>
      </c>
      <c r="J375" s="10">
        <v>1.86</v>
      </c>
      <c r="K375" s="4">
        <v>18</v>
      </c>
    </row>
    <row r="376" spans="1:11" x14ac:dyDescent="0.3">
      <c r="A376" s="4">
        <v>375</v>
      </c>
      <c r="B376" t="s">
        <v>11</v>
      </c>
      <c r="C376" s="1">
        <v>43460</v>
      </c>
      <c r="D376" s="1"/>
      <c r="E376" t="s">
        <v>8</v>
      </c>
      <c r="F376" s="11">
        <f ca="1">IF(HR[[#This Row],[ Employee Status]]="exited",HR[[#This Row],[ExitDate]]-HR[[#This Row],[HireDate]],TODAY()-HR[[#This Row],[HireDate]])/365</f>
        <v>7.5342465753424657</v>
      </c>
      <c r="G376" s="4" t="str">
        <f>IF(HR[[#This Row],[ Employee Status]]="still working","",YEAR(HR[[#This Row],[ExitDate]]))</f>
        <v/>
      </c>
      <c r="H376" s="6">
        <v>13576</v>
      </c>
      <c r="I376" s="10">
        <v>3.36</v>
      </c>
      <c r="J376" s="10">
        <v>4.29</v>
      </c>
      <c r="K376" s="4">
        <v>21</v>
      </c>
    </row>
    <row r="377" spans="1:11" x14ac:dyDescent="0.3">
      <c r="A377" s="4">
        <v>376</v>
      </c>
      <c r="B377" t="s">
        <v>10</v>
      </c>
      <c r="C377" s="1">
        <v>44435</v>
      </c>
      <c r="D377" s="1"/>
      <c r="E377" t="s">
        <v>8</v>
      </c>
      <c r="F377" s="11">
        <f ca="1">IF(HR[[#This Row],[ Employee Status]]="exited",HR[[#This Row],[ExitDate]]-HR[[#This Row],[HireDate]],TODAY()-HR[[#This Row],[HireDate]])/365</f>
        <v>4.8630136986301373</v>
      </c>
      <c r="G377" s="4" t="str">
        <f>IF(HR[[#This Row],[ Employee Status]]="still working","",YEAR(HR[[#This Row],[ExitDate]]))</f>
        <v/>
      </c>
      <c r="H377" s="6">
        <v>9555</v>
      </c>
      <c r="I377" s="10">
        <v>2.87</v>
      </c>
      <c r="J377" s="10">
        <v>3.25</v>
      </c>
      <c r="K377" s="4">
        <v>3</v>
      </c>
    </row>
    <row r="378" spans="1:11" x14ac:dyDescent="0.3">
      <c r="A378" s="4">
        <v>377</v>
      </c>
      <c r="B378" t="s">
        <v>10</v>
      </c>
      <c r="C378" s="1">
        <v>45447</v>
      </c>
      <c r="D378" s="1"/>
      <c r="E378" t="s">
        <v>8</v>
      </c>
      <c r="F378" s="11">
        <f ca="1">IF(HR[[#This Row],[ Employee Status]]="exited",HR[[#This Row],[ExitDate]]-HR[[#This Row],[HireDate]],TODAY()-HR[[#This Row],[HireDate]])/365</f>
        <v>2.0904109589041098</v>
      </c>
      <c r="G378" s="4" t="str">
        <f>IF(HR[[#This Row],[ Employee Status]]="still working","",YEAR(HR[[#This Row],[ExitDate]]))</f>
        <v/>
      </c>
      <c r="H378" s="6">
        <v>12227</v>
      </c>
      <c r="I378" s="10">
        <v>2.4</v>
      </c>
      <c r="J378" s="10">
        <v>3.52</v>
      </c>
      <c r="K378" s="4">
        <v>10</v>
      </c>
    </row>
    <row r="379" spans="1:11" x14ac:dyDescent="0.3">
      <c r="A379" s="4">
        <v>378</v>
      </c>
      <c r="B379" t="s">
        <v>13</v>
      </c>
      <c r="C379" s="1">
        <v>45269</v>
      </c>
      <c r="D379" s="1"/>
      <c r="E379" t="s">
        <v>8</v>
      </c>
      <c r="F379" s="11">
        <f ca="1">IF(HR[[#This Row],[ Employee Status]]="exited",HR[[#This Row],[ExitDate]]-HR[[#This Row],[HireDate]],TODAY()-HR[[#This Row],[HireDate]])/365</f>
        <v>2.5780821917808221</v>
      </c>
      <c r="G379" s="4" t="str">
        <f>IF(HR[[#This Row],[ Employee Status]]="still working","",YEAR(HR[[#This Row],[ExitDate]]))</f>
        <v/>
      </c>
      <c r="H379" s="6">
        <v>10758</v>
      </c>
      <c r="I379" s="10">
        <v>4.3499999999999996</v>
      </c>
      <c r="J379" s="10">
        <v>3.86</v>
      </c>
      <c r="K379" s="4">
        <v>21</v>
      </c>
    </row>
    <row r="380" spans="1:11" x14ac:dyDescent="0.3">
      <c r="A380" s="4">
        <v>379</v>
      </c>
      <c r="B380" t="s">
        <v>10</v>
      </c>
      <c r="C380" s="1">
        <v>45151</v>
      </c>
      <c r="D380" s="1"/>
      <c r="E380" t="s">
        <v>8</v>
      </c>
      <c r="F380" s="11">
        <f ca="1">IF(HR[[#This Row],[ Employee Status]]="exited",HR[[#This Row],[ExitDate]]-HR[[#This Row],[HireDate]],TODAY()-HR[[#This Row],[HireDate]])/365</f>
        <v>2.9013698630136986</v>
      </c>
      <c r="G380" s="4" t="str">
        <f>IF(HR[[#This Row],[ Employee Status]]="still working","",YEAR(HR[[#This Row],[ExitDate]]))</f>
        <v/>
      </c>
      <c r="H380" s="6">
        <v>9056</v>
      </c>
      <c r="I380" s="10">
        <v>2.25</v>
      </c>
      <c r="J380" s="10">
        <v>4.72</v>
      </c>
      <c r="K380" s="4">
        <v>24</v>
      </c>
    </row>
    <row r="381" spans="1:11" x14ac:dyDescent="0.3">
      <c r="A381" s="4">
        <v>380</v>
      </c>
      <c r="B381" t="s">
        <v>14</v>
      </c>
      <c r="C381" s="1">
        <v>44550</v>
      </c>
      <c r="D381" s="1"/>
      <c r="E381" t="s">
        <v>8</v>
      </c>
      <c r="F381" s="11">
        <f ca="1">IF(HR[[#This Row],[ Employee Status]]="exited",HR[[#This Row],[ExitDate]]-HR[[#This Row],[HireDate]],TODAY()-HR[[#This Row],[HireDate]])/365</f>
        <v>4.5479452054794525</v>
      </c>
      <c r="G381" s="4" t="str">
        <f>IF(HR[[#This Row],[ Employee Status]]="still working","",YEAR(HR[[#This Row],[ExitDate]]))</f>
        <v/>
      </c>
      <c r="H381" s="6">
        <v>7232</v>
      </c>
      <c r="I381" s="10">
        <v>4.37</v>
      </c>
      <c r="J381" s="10">
        <v>4.57</v>
      </c>
      <c r="K381" s="4">
        <v>12</v>
      </c>
    </row>
    <row r="382" spans="1:11" x14ac:dyDescent="0.3">
      <c r="A382" s="4">
        <v>381</v>
      </c>
      <c r="B382" t="s">
        <v>11</v>
      </c>
      <c r="C382" s="1">
        <v>43751</v>
      </c>
      <c r="D382" s="1"/>
      <c r="E382" t="s">
        <v>8</v>
      </c>
      <c r="F382" s="11">
        <f ca="1">IF(HR[[#This Row],[ Employee Status]]="exited",HR[[#This Row],[ExitDate]]-HR[[#This Row],[HireDate]],TODAY()-HR[[#This Row],[HireDate]])/365</f>
        <v>6.7369863013698632</v>
      </c>
      <c r="G382" s="4" t="str">
        <f>IF(HR[[#This Row],[ Employee Status]]="still working","",YEAR(HR[[#This Row],[ExitDate]]))</f>
        <v/>
      </c>
      <c r="H382" s="6">
        <v>13863</v>
      </c>
      <c r="I382" s="10">
        <v>2.35</v>
      </c>
      <c r="J382" s="10">
        <v>1.17</v>
      </c>
      <c r="K382" s="4">
        <v>28</v>
      </c>
    </row>
    <row r="383" spans="1:11" x14ac:dyDescent="0.3">
      <c r="A383" s="4">
        <v>382</v>
      </c>
      <c r="B383" t="s">
        <v>14</v>
      </c>
      <c r="C383" s="1">
        <v>45169</v>
      </c>
      <c r="D383" s="1"/>
      <c r="E383" t="s">
        <v>8</v>
      </c>
      <c r="F383" s="11">
        <f ca="1">IF(HR[[#This Row],[ Employee Status]]="exited",HR[[#This Row],[ExitDate]]-HR[[#This Row],[HireDate]],TODAY()-HR[[#This Row],[HireDate]])/365</f>
        <v>2.8520547945205479</v>
      </c>
      <c r="G383" s="4" t="str">
        <f>IF(HR[[#This Row],[ Employee Status]]="still working","",YEAR(HR[[#This Row],[ExitDate]]))</f>
        <v/>
      </c>
      <c r="H383" s="6">
        <v>14992</v>
      </c>
      <c r="I383" s="10">
        <v>2.5</v>
      </c>
      <c r="J383" s="10">
        <v>3.85</v>
      </c>
      <c r="K383" s="4">
        <v>12</v>
      </c>
    </row>
    <row r="384" spans="1:11" x14ac:dyDescent="0.3">
      <c r="A384" s="4">
        <v>383</v>
      </c>
      <c r="B384" t="s">
        <v>9</v>
      </c>
      <c r="C384" s="1">
        <v>44398</v>
      </c>
      <c r="D384" s="1"/>
      <c r="E384" t="s">
        <v>8</v>
      </c>
      <c r="F384" s="11">
        <f ca="1">IF(HR[[#This Row],[ Employee Status]]="exited",HR[[#This Row],[ExitDate]]-HR[[#This Row],[HireDate]],TODAY()-HR[[#This Row],[HireDate]])/365</f>
        <v>4.9643835616438352</v>
      </c>
      <c r="G384" s="4" t="str">
        <f>IF(HR[[#This Row],[ Employee Status]]="still working","",YEAR(HR[[#This Row],[ExitDate]]))</f>
        <v/>
      </c>
      <c r="H384" s="6">
        <v>3522</v>
      </c>
      <c r="I384" s="10">
        <v>2.89</v>
      </c>
      <c r="J384" s="10">
        <v>1.42</v>
      </c>
      <c r="K384" s="4">
        <v>18</v>
      </c>
    </row>
    <row r="385" spans="1:11" x14ac:dyDescent="0.3">
      <c r="A385" s="4">
        <v>384</v>
      </c>
      <c r="B385" t="s">
        <v>7</v>
      </c>
      <c r="C385" s="1">
        <v>44310</v>
      </c>
      <c r="D385" s="1"/>
      <c r="E385" t="s">
        <v>8</v>
      </c>
      <c r="F385" s="11">
        <f ca="1">IF(HR[[#This Row],[ Employee Status]]="exited",HR[[#This Row],[ExitDate]]-HR[[#This Row],[HireDate]],TODAY()-HR[[#This Row],[HireDate]])/365</f>
        <v>5.2054794520547949</v>
      </c>
      <c r="G385" s="4" t="str">
        <f>IF(HR[[#This Row],[ Employee Status]]="still working","",YEAR(HR[[#This Row],[ExitDate]]))</f>
        <v/>
      </c>
      <c r="H385" s="6">
        <v>14049</v>
      </c>
      <c r="I385" s="10">
        <v>3.16</v>
      </c>
      <c r="J385" s="10">
        <v>4.46</v>
      </c>
      <c r="K385" s="4">
        <v>2</v>
      </c>
    </row>
    <row r="386" spans="1:11" x14ac:dyDescent="0.3">
      <c r="A386" s="4">
        <v>385</v>
      </c>
      <c r="B386" t="s">
        <v>10</v>
      </c>
      <c r="C386" s="1">
        <v>43136</v>
      </c>
      <c r="D386" s="1"/>
      <c r="E386" t="s">
        <v>8</v>
      </c>
      <c r="F386" s="11">
        <f ca="1">IF(HR[[#This Row],[ Employee Status]]="exited",HR[[#This Row],[ExitDate]]-HR[[#This Row],[HireDate]],TODAY()-HR[[#This Row],[HireDate]])/365</f>
        <v>8.4219178082191775</v>
      </c>
      <c r="G386" s="4" t="str">
        <f>IF(HR[[#This Row],[ Employee Status]]="still working","",YEAR(HR[[#This Row],[ExitDate]]))</f>
        <v/>
      </c>
      <c r="H386" s="6">
        <v>10935</v>
      </c>
      <c r="I386" s="10">
        <v>2.16</v>
      </c>
      <c r="J386" s="10">
        <v>4.07</v>
      </c>
      <c r="K386" s="4">
        <v>17</v>
      </c>
    </row>
    <row r="387" spans="1:11" x14ac:dyDescent="0.3">
      <c r="A387" s="4">
        <v>386</v>
      </c>
      <c r="B387" t="s">
        <v>9</v>
      </c>
      <c r="C387" s="1">
        <v>44859</v>
      </c>
      <c r="D387" s="1"/>
      <c r="E387" t="s">
        <v>8</v>
      </c>
      <c r="F387" s="11">
        <f ca="1">IF(HR[[#This Row],[ Employee Status]]="exited",HR[[#This Row],[ExitDate]]-HR[[#This Row],[HireDate]],TODAY()-HR[[#This Row],[HireDate]])/365</f>
        <v>3.7013698630136984</v>
      </c>
      <c r="G387" s="4" t="str">
        <f>IF(HR[[#This Row],[ Employee Status]]="still working","",YEAR(HR[[#This Row],[ExitDate]]))</f>
        <v/>
      </c>
      <c r="H387" s="6">
        <v>13270</v>
      </c>
      <c r="I387" s="10">
        <v>4.6100000000000003</v>
      </c>
      <c r="J387" s="10">
        <v>3.92</v>
      </c>
      <c r="K387" s="4">
        <v>21</v>
      </c>
    </row>
    <row r="388" spans="1:11" x14ac:dyDescent="0.3">
      <c r="A388" s="4">
        <v>387</v>
      </c>
      <c r="B388" t="s">
        <v>7</v>
      </c>
      <c r="C388" s="1">
        <v>44098</v>
      </c>
      <c r="D388" s="1"/>
      <c r="E388" t="s">
        <v>8</v>
      </c>
      <c r="F388" s="11">
        <f ca="1">IF(HR[[#This Row],[ Employee Status]]="exited",HR[[#This Row],[ExitDate]]-HR[[#This Row],[HireDate]],TODAY()-HR[[#This Row],[HireDate]])/365</f>
        <v>5.7863013698630139</v>
      </c>
      <c r="G388" s="4" t="str">
        <f>IF(HR[[#This Row],[ Employee Status]]="still working","",YEAR(HR[[#This Row],[ExitDate]]))</f>
        <v/>
      </c>
      <c r="H388" s="6">
        <v>13070</v>
      </c>
      <c r="I388" s="10">
        <v>2.41</v>
      </c>
      <c r="J388" s="10">
        <v>3.61</v>
      </c>
      <c r="K388" s="4">
        <v>17</v>
      </c>
    </row>
    <row r="389" spans="1:11" x14ac:dyDescent="0.3">
      <c r="A389" s="4">
        <v>388</v>
      </c>
      <c r="B389" t="s">
        <v>11</v>
      </c>
      <c r="C389" s="1">
        <v>44836</v>
      </c>
      <c r="D389" s="1"/>
      <c r="E389" t="s">
        <v>8</v>
      </c>
      <c r="F389" s="11">
        <f ca="1">IF(HR[[#This Row],[ Employee Status]]="exited",HR[[#This Row],[ExitDate]]-HR[[#This Row],[HireDate]],TODAY()-HR[[#This Row],[HireDate]])/365</f>
        <v>3.7643835616438355</v>
      </c>
      <c r="G389" s="4" t="str">
        <f>IF(HR[[#This Row],[ Employee Status]]="still working","",YEAR(HR[[#This Row],[ExitDate]]))</f>
        <v/>
      </c>
      <c r="H389" s="6">
        <v>12131</v>
      </c>
      <c r="I389" s="10">
        <v>2.6</v>
      </c>
      <c r="J389" s="10">
        <v>4.5599999999999996</v>
      </c>
      <c r="K389" s="4">
        <v>27</v>
      </c>
    </row>
    <row r="390" spans="1:11" x14ac:dyDescent="0.3">
      <c r="A390" s="4">
        <v>389</v>
      </c>
      <c r="B390" t="s">
        <v>7</v>
      </c>
      <c r="C390" s="1">
        <v>43385</v>
      </c>
      <c r="D390" s="1"/>
      <c r="E390" t="s">
        <v>8</v>
      </c>
      <c r="F390" s="11">
        <f ca="1">IF(HR[[#This Row],[ Employee Status]]="exited",HR[[#This Row],[ExitDate]]-HR[[#This Row],[HireDate]],TODAY()-HR[[#This Row],[HireDate]])/365</f>
        <v>7.7397260273972606</v>
      </c>
      <c r="G390" s="4" t="str">
        <f>IF(HR[[#This Row],[ Employee Status]]="still working","",YEAR(HR[[#This Row],[ExitDate]]))</f>
        <v/>
      </c>
      <c r="H390" s="6">
        <v>10480</v>
      </c>
      <c r="I390" s="10">
        <v>3.63</v>
      </c>
      <c r="J390" s="10">
        <v>1.4</v>
      </c>
      <c r="K390" s="4">
        <v>9</v>
      </c>
    </row>
    <row r="391" spans="1:11" x14ac:dyDescent="0.3">
      <c r="A391" s="4">
        <v>390</v>
      </c>
      <c r="B391" t="s">
        <v>7</v>
      </c>
      <c r="C391" s="1">
        <v>43524</v>
      </c>
      <c r="D391" s="1"/>
      <c r="E391" t="s">
        <v>8</v>
      </c>
      <c r="F391" s="11">
        <f ca="1">IF(HR[[#This Row],[ Employee Status]]="exited",HR[[#This Row],[ExitDate]]-HR[[#This Row],[HireDate]],TODAY()-HR[[#This Row],[HireDate]])/365</f>
        <v>7.3589041095890408</v>
      </c>
      <c r="G391" s="4" t="str">
        <f>IF(HR[[#This Row],[ Employee Status]]="still working","",YEAR(HR[[#This Row],[ExitDate]]))</f>
        <v/>
      </c>
      <c r="H391" s="6">
        <v>6173</v>
      </c>
      <c r="I391" s="10">
        <v>2.37</v>
      </c>
      <c r="J391" s="10">
        <v>2.65</v>
      </c>
      <c r="K391" s="4">
        <v>24</v>
      </c>
    </row>
    <row r="392" spans="1:11" x14ac:dyDescent="0.3">
      <c r="A392" s="4">
        <v>391</v>
      </c>
      <c r="B392" t="s">
        <v>11</v>
      </c>
      <c r="C392" s="1">
        <v>44440</v>
      </c>
      <c r="D392" s="1"/>
      <c r="E392" t="s">
        <v>8</v>
      </c>
      <c r="F392" s="11">
        <f ca="1">IF(HR[[#This Row],[ Employee Status]]="exited",HR[[#This Row],[ExitDate]]-HR[[#This Row],[HireDate]],TODAY()-HR[[#This Row],[HireDate]])/365</f>
        <v>4.8493150684931505</v>
      </c>
      <c r="G392" s="4" t="str">
        <f>IF(HR[[#This Row],[ Employee Status]]="still working","",YEAR(HR[[#This Row],[ExitDate]]))</f>
        <v/>
      </c>
      <c r="H392" s="6">
        <v>5064</v>
      </c>
      <c r="I392" s="10">
        <v>4.17</v>
      </c>
      <c r="J392" s="10">
        <v>4.51</v>
      </c>
      <c r="K392" s="4">
        <v>25</v>
      </c>
    </row>
    <row r="393" spans="1:11" x14ac:dyDescent="0.3">
      <c r="A393" s="4">
        <v>392</v>
      </c>
      <c r="B393" t="s">
        <v>11</v>
      </c>
      <c r="C393" s="1">
        <v>44209</v>
      </c>
      <c r="D393" s="1"/>
      <c r="E393" t="s">
        <v>8</v>
      </c>
      <c r="F393" s="11">
        <f ca="1">IF(HR[[#This Row],[ Employee Status]]="exited",HR[[#This Row],[ExitDate]]-HR[[#This Row],[HireDate]],TODAY()-HR[[#This Row],[HireDate]])/365</f>
        <v>5.4821917808219176</v>
      </c>
      <c r="G393" s="4" t="str">
        <f>IF(HR[[#This Row],[ Employee Status]]="still working","",YEAR(HR[[#This Row],[ExitDate]]))</f>
        <v/>
      </c>
      <c r="H393" s="6">
        <v>6923</v>
      </c>
      <c r="I393" s="10">
        <v>2.66</v>
      </c>
      <c r="J393" s="10">
        <v>1.53</v>
      </c>
      <c r="K393" s="4">
        <v>11</v>
      </c>
    </row>
    <row r="394" spans="1:11" x14ac:dyDescent="0.3">
      <c r="A394" s="4">
        <v>393</v>
      </c>
      <c r="B394" t="s">
        <v>7</v>
      </c>
      <c r="C394" s="1">
        <v>43529</v>
      </c>
      <c r="D394" s="1"/>
      <c r="E394" t="s">
        <v>8</v>
      </c>
      <c r="F394" s="11">
        <f ca="1">IF(HR[[#This Row],[ Employee Status]]="exited",HR[[#This Row],[ExitDate]]-HR[[#This Row],[HireDate]],TODAY()-HR[[#This Row],[HireDate]])/365</f>
        <v>7.3452054794520549</v>
      </c>
      <c r="G394" s="4" t="str">
        <f>IF(HR[[#This Row],[ Employee Status]]="still working","",YEAR(HR[[#This Row],[ExitDate]]))</f>
        <v/>
      </c>
      <c r="H394" s="6">
        <v>8818</v>
      </c>
      <c r="I394" s="10">
        <v>2.5499999999999998</v>
      </c>
      <c r="J394" s="10">
        <v>2.74</v>
      </c>
      <c r="K394" s="4">
        <v>20</v>
      </c>
    </row>
    <row r="395" spans="1:11" x14ac:dyDescent="0.3">
      <c r="A395" s="4">
        <v>394</v>
      </c>
      <c r="B395" t="s">
        <v>10</v>
      </c>
      <c r="C395" s="1">
        <v>43168</v>
      </c>
      <c r="D395" s="1"/>
      <c r="E395" t="s">
        <v>8</v>
      </c>
      <c r="F395" s="11">
        <f ca="1">IF(HR[[#This Row],[ Employee Status]]="exited",HR[[#This Row],[ExitDate]]-HR[[#This Row],[HireDate]],TODAY()-HR[[#This Row],[HireDate]])/365</f>
        <v>8.3342465753424655</v>
      </c>
      <c r="G395" s="4" t="str">
        <f>IF(HR[[#This Row],[ Employee Status]]="still working","",YEAR(HR[[#This Row],[ExitDate]]))</f>
        <v/>
      </c>
      <c r="H395" s="6">
        <v>5566</v>
      </c>
      <c r="I395" s="10">
        <v>2</v>
      </c>
      <c r="J395" s="10">
        <v>2.2000000000000002</v>
      </c>
      <c r="K395" s="4">
        <v>3</v>
      </c>
    </row>
    <row r="396" spans="1:11" x14ac:dyDescent="0.3">
      <c r="A396" s="4">
        <v>395</v>
      </c>
      <c r="B396" t="s">
        <v>9</v>
      </c>
      <c r="C396" s="1">
        <v>45544</v>
      </c>
      <c r="D396" s="1"/>
      <c r="E396" t="s">
        <v>8</v>
      </c>
      <c r="F396" s="11">
        <f ca="1">IF(HR[[#This Row],[ Employee Status]]="exited",HR[[#This Row],[ExitDate]]-HR[[#This Row],[HireDate]],TODAY()-HR[[#This Row],[HireDate]])/365</f>
        <v>1.8246575342465754</v>
      </c>
      <c r="G396" s="4" t="str">
        <f>IF(HR[[#This Row],[ Employee Status]]="still working","",YEAR(HR[[#This Row],[ExitDate]]))</f>
        <v/>
      </c>
      <c r="H396" s="6">
        <v>8960</v>
      </c>
      <c r="I396" s="10">
        <v>4.3499999999999996</v>
      </c>
      <c r="J396" s="10">
        <v>4.12</v>
      </c>
      <c r="K396" s="4">
        <v>7</v>
      </c>
    </row>
    <row r="397" spans="1:11" x14ac:dyDescent="0.3">
      <c r="A397" s="4">
        <v>396</v>
      </c>
      <c r="B397" t="s">
        <v>14</v>
      </c>
      <c r="C397" s="1">
        <v>44601</v>
      </c>
      <c r="D397" s="1"/>
      <c r="E397" t="s">
        <v>8</v>
      </c>
      <c r="F397" s="11">
        <f ca="1">IF(HR[[#This Row],[ Employee Status]]="exited",HR[[#This Row],[ExitDate]]-HR[[#This Row],[HireDate]],TODAY()-HR[[#This Row],[HireDate]])/365</f>
        <v>4.4082191780821915</v>
      </c>
      <c r="G397" s="4" t="str">
        <f>IF(HR[[#This Row],[ Employee Status]]="still working","",YEAR(HR[[#This Row],[ExitDate]]))</f>
        <v/>
      </c>
      <c r="H397" s="6">
        <v>11835</v>
      </c>
      <c r="I397" s="10">
        <v>4.8099999999999996</v>
      </c>
      <c r="J397" s="10">
        <v>3.41</v>
      </c>
      <c r="K397" s="4">
        <v>12</v>
      </c>
    </row>
    <row r="398" spans="1:11" x14ac:dyDescent="0.3">
      <c r="A398" s="4">
        <v>397</v>
      </c>
      <c r="B398" t="s">
        <v>9</v>
      </c>
      <c r="C398" s="1">
        <v>43516</v>
      </c>
      <c r="D398" s="1"/>
      <c r="E398" t="s">
        <v>8</v>
      </c>
      <c r="F398" s="11">
        <f ca="1">IF(HR[[#This Row],[ Employee Status]]="exited",HR[[#This Row],[ExitDate]]-HR[[#This Row],[HireDate]],TODAY()-HR[[#This Row],[HireDate]])/365</f>
        <v>7.3808219178082188</v>
      </c>
      <c r="G398" s="4" t="str">
        <f>IF(HR[[#This Row],[ Employee Status]]="still working","",YEAR(HR[[#This Row],[ExitDate]]))</f>
        <v/>
      </c>
      <c r="H398" s="6">
        <v>12433</v>
      </c>
      <c r="I398" s="10">
        <v>2.72</v>
      </c>
      <c r="J398" s="10">
        <v>3.12</v>
      </c>
      <c r="K398" s="4">
        <v>19</v>
      </c>
    </row>
    <row r="399" spans="1:11" x14ac:dyDescent="0.3">
      <c r="A399" s="4">
        <v>398</v>
      </c>
      <c r="B399" t="s">
        <v>9</v>
      </c>
      <c r="C399" s="1">
        <v>43861</v>
      </c>
      <c r="D399" s="1"/>
      <c r="E399" t="s">
        <v>8</v>
      </c>
      <c r="F399" s="11">
        <f ca="1">IF(HR[[#This Row],[ Employee Status]]="exited",HR[[#This Row],[ExitDate]]-HR[[#This Row],[HireDate]],TODAY()-HR[[#This Row],[HireDate]])/365</f>
        <v>6.4356164383561643</v>
      </c>
      <c r="G399" s="4" t="str">
        <f>IF(HR[[#This Row],[ Employee Status]]="still working","",YEAR(HR[[#This Row],[ExitDate]]))</f>
        <v/>
      </c>
      <c r="H399" s="6">
        <v>3277</v>
      </c>
      <c r="I399" s="10">
        <v>2.59</v>
      </c>
      <c r="J399" s="10">
        <v>1.56</v>
      </c>
      <c r="K399" s="4">
        <v>25</v>
      </c>
    </row>
    <row r="400" spans="1:11" x14ac:dyDescent="0.3">
      <c r="A400" s="4">
        <v>399</v>
      </c>
      <c r="B400" t="s">
        <v>14</v>
      </c>
      <c r="C400" s="1">
        <v>43502</v>
      </c>
      <c r="D400" s="1">
        <v>43542</v>
      </c>
      <c r="E400" t="s">
        <v>12</v>
      </c>
      <c r="F400" s="11">
        <f ca="1">IF(HR[[#This Row],[ Employee Status]]="exited",HR[[#This Row],[ExitDate]]-HR[[#This Row],[HireDate]],TODAY()-HR[[#This Row],[HireDate]])/365</f>
        <v>0.1095890410958904</v>
      </c>
      <c r="G400" s="4">
        <f>IF(HR[[#This Row],[ Employee Status]]="still working","",YEAR(HR[[#This Row],[ExitDate]]))</f>
        <v>2019</v>
      </c>
      <c r="H400" s="6">
        <v>10468</v>
      </c>
      <c r="I400" s="10">
        <v>3.58</v>
      </c>
      <c r="J400" s="10">
        <v>4.63</v>
      </c>
      <c r="K400" s="4">
        <v>27</v>
      </c>
    </row>
    <row r="401" spans="1:11" x14ac:dyDescent="0.3">
      <c r="A401" s="4">
        <v>400</v>
      </c>
      <c r="B401" t="s">
        <v>13</v>
      </c>
      <c r="C401" s="1">
        <v>43832</v>
      </c>
      <c r="D401" s="1"/>
      <c r="E401" t="s">
        <v>8</v>
      </c>
      <c r="F401" s="11">
        <f ca="1">IF(HR[[#This Row],[ Employee Status]]="exited",HR[[#This Row],[ExitDate]]-HR[[#This Row],[HireDate]],TODAY()-HR[[#This Row],[HireDate]])/365</f>
        <v>6.515068493150685</v>
      </c>
      <c r="G401" s="4" t="str">
        <f>IF(HR[[#This Row],[ Employee Status]]="still working","",YEAR(HR[[#This Row],[ExitDate]]))</f>
        <v/>
      </c>
      <c r="H401" s="6">
        <v>4072</v>
      </c>
      <c r="I401" s="10">
        <v>4.17</v>
      </c>
      <c r="J401" s="10">
        <v>3.16</v>
      </c>
      <c r="K401" s="4">
        <v>8</v>
      </c>
    </row>
    <row r="402" spans="1:11" x14ac:dyDescent="0.3">
      <c r="A402" s="4">
        <v>401</v>
      </c>
      <c r="B402" t="s">
        <v>10</v>
      </c>
      <c r="C402" s="1">
        <v>43916</v>
      </c>
      <c r="D402" s="1"/>
      <c r="E402" t="s">
        <v>8</v>
      </c>
      <c r="F402" s="11">
        <f ca="1">IF(HR[[#This Row],[ Employee Status]]="exited",HR[[#This Row],[ExitDate]]-HR[[#This Row],[HireDate]],TODAY()-HR[[#This Row],[HireDate]])/365</f>
        <v>6.2849315068493148</v>
      </c>
      <c r="G402" s="4" t="str">
        <f>IF(HR[[#This Row],[ Employee Status]]="still working","",YEAR(HR[[#This Row],[ExitDate]]))</f>
        <v/>
      </c>
      <c r="H402" s="6">
        <v>12968</v>
      </c>
      <c r="I402" s="10">
        <v>2.69</v>
      </c>
      <c r="J402" s="10">
        <v>1.18</v>
      </c>
      <c r="K402" s="4">
        <v>0</v>
      </c>
    </row>
    <row r="403" spans="1:11" x14ac:dyDescent="0.3">
      <c r="A403" s="4">
        <v>402</v>
      </c>
      <c r="B403" t="s">
        <v>14</v>
      </c>
      <c r="C403" s="1">
        <v>44831</v>
      </c>
      <c r="D403" s="1">
        <v>44956</v>
      </c>
      <c r="E403" t="s">
        <v>12</v>
      </c>
      <c r="F403" s="11">
        <f ca="1">IF(HR[[#This Row],[ Employee Status]]="exited",HR[[#This Row],[ExitDate]]-HR[[#This Row],[HireDate]],TODAY()-HR[[#This Row],[HireDate]])/365</f>
        <v>0.34246575342465752</v>
      </c>
      <c r="G403" s="4">
        <f>IF(HR[[#This Row],[ Employee Status]]="still working","",YEAR(HR[[#This Row],[ExitDate]]))</f>
        <v>2023</v>
      </c>
      <c r="H403" s="6">
        <v>5783</v>
      </c>
      <c r="I403" s="10">
        <v>2.23</v>
      </c>
      <c r="J403" s="10">
        <v>2.1</v>
      </c>
      <c r="K403" s="4">
        <v>21</v>
      </c>
    </row>
    <row r="404" spans="1:11" x14ac:dyDescent="0.3">
      <c r="A404" s="4">
        <v>403</v>
      </c>
      <c r="B404" t="s">
        <v>11</v>
      </c>
      <c r="C404" s="1">
        <v>44706</v>
      </c>
      <c r="D404" s="1">
        <v>45602</v>
      </c>
      <c r="E404" t="s">
        <v>12</v>
      </c>
      <c r="F404" s="11">
        <f ca="1">IF(HR[[#This Row],[ Employee Status]]="exited",HR[[#This Row],[ExitDate]]-HR[[#This Row],[HireDate]],TODAY()-HR[[#This Row],[HireDate]])/365</f>
        <v>2.4547945205479453</v>
      </c>
      <c r="G404" s="4">
        <f>IF(HR[[#This Row],[ Employee Status]]="still working","",YEAR(HR[[#This Row],[ExitDate]]))</f>
        <v>2024</v>
      </c>
      <c r="H404" s="6">
        <v>13541</v>
      </c>
      <c r="I404" s="10">
        <v>2.5</v>
      </c>
      <c r="J404" s="10">
        <v>2.78</v>
      </c>
      <c r="K404" s="4">
        <v>11</v>
      </c>
    </row>
    <row r="405" spans="1:11" x14ac:dyDescent="0.3">
      <c r="A405" s="4">
        <v>404</v>
      </c>
      <c r="B405" t="s">
        <v>9</v>
      </c>
      <c r="C405" s="1">
        <v>43232</v>
      </c>
      <c r="D405" s="1">
        <v>44452</v>
      </c>
      <c r="E405" t="s">
        <v>12</v>
      </c>
      <c r="F405" s="11">
        <f ca="1">IF(HR[[#This Row],[ Employee Status]]="exited",HR[[#This Row],[ExitDate]]-HR[[#This Row],[HireDate]],TODAY()-HR[[#This Row],[HireDate]])/365</f>
        <v>3.3424657534246576</v>
      </c>
      <c r="G405" s="4">
        <f>IF(HR[[#This Row],[ Employee Status]]="still working","",YEAR(HR[[#This Row],[ExitDate]]))</f>
        <v>2021</v>
      </c>
      <c r="H405" s="6">
        <v>14424</v>
      </c>
      <c r="I405" s="10">
        <v>3.58</v>
      </c>
      <c r="J405" s="10">
        <v>2.57</v>
      </c>
      <c r="K405" s="4">
        <v>11</v>
      </c>
    </row>
    <row r="406" spans="1:11" x14ac:dyDescent="0.3">
      <c r="A406" s="4">
        <v>405</v>
      </c>
      <c r="B406" t="s">
        <v>9</v>
      </c>
      <c r="C406" s="1">
        <v>43602</v>
      </c>
      <c r="D406" s="1">
        <v>44827</v>
      </c>
      <c r="E406" t="s">
        <v>12</v>
      </c>
      <c r="F406" s="11">
        <f ca="1">IF(HR[[#This Row],[ Employee Status]]="exited",HR[[#This Row],[ExitDate]]-HR[[#This Row],[HireDate]],TODAY()-HR[[#This Row],[HireDate]])/365</f>
        <v>3.3561643835616439</v>
      </c>
      <c r="G406" s="4">
        <f>IF(HR[[#This Row],[ Employee Status]]="still working","",YEAR(HR[[#This Row],[ExitDate]]))</f>
        <v>2022</v>
      </c>
      <c r="H406" s="6">
        <v>13082</v>
      </c>
      <c r="I406" s="10">
        <v>4.8600000000000003</v>
      </c>
      <c r="J406" s="10">
        <v>3.09</v>
      </c>
      <c r="K406" s="4">
        <v>11</v>
      </c>
    </row>
    <row r="407" spans="1:11" x14ac:dyDescent="0.3">
      <c r="A407" s="4">
        <v>406</v>
      </c>
      <c r="B407" t="s">
        <v>13</v>
      </c>
      <c r="C407" s="1">
        <v>45309</v>
      </c>
      <c r="D407" s="1"/>
      <c r="E407" t="s">
        <v>8</v>
      </c>
      <c r="F407" s="11">
        <f ca="1">IF(HR[[#This Row],[ Employee Status]]="exited",HR[[#This Row],[ExitDate]]-HR[[#This Row],[HireDate]],TODAY()-HR[[#This Row],[HireDate]])/365</f>
        <v>2.4684931506849317</v>
      </c>
      <c r="G407" s="4" t="str">
        <f>IF(HR[[#This Row],[ Employee Status]]="still working","",YEAR(HR[[#This Row],[ExitDate]]))</f>
        <v/>
      </c>
      <c r="H407" s="6">
        <v>10186</v>
      </c>
      <c r="I407" s="10">
        <v>2.04</v>
      </c>
      <c r="J407" s="10">
        <v>1.06</v>
      </c>
      <c r="K407" s="4">
        <v>11</v>
      </c>
    </row>
    <row r="408" spans="1:11" x14ac:dyDescent="0.3">
      <c r="A408" s="4">
        <v>407</v>
      </c>
      <c r="B408" t="s">
        <v>14</v>
      </c>
      <c r="C408" s="1">
        <v>44329</v>
      </c>
      <c r="D408" s="1">
        <v>45336</v>
      </c>
      <c r="E408" t="s">
        <v>12</v>
      </c>
      <c r="F408" s="11">
        <f ca="1">IF(HR[[#This Row],[ Employee Status]]="exited",HR[[#This Row],[ExitDate]]-HR[[#This Row],[HireDate]],TODAY()-HR[[#This Row],[HireDate]])/365</f>
        <v>2.7589041095890412</v>
      </c>
      <c r="G408" s="4">
        <f>IF(HR[[#This Row],[ Employee Status]]="still working","",YEAR(HR[[#This Row],[ExitDate]]))</f>
        <v>2024</v>
      </c>
      <c r="H408" s="6">
        <v>14617</v>
      </c>
      <c r="I408" s="10">
        <v>4.8600000000000003</v>
      </c>
      <c r="J408" s="10">
        <v>4.87</v>
      </c>
      <c r="K408" s="4">
        <v>7</v>
      </c>
    </row>
    <row r="409" spans="1:11" x14ac:dyDescent="0.3">
      <c r="A409" s="4">
        <v>408</v>
      </c>
      <c r="B409" t="s">
        <v>11</v>
      </c>
      <c r="C409" s="1">
        <v>44335</v>
      </c>
      <c r="D409" s="1"/>
      <c r="E409" t="s">
        <v>8</v>
      </c>
      <c r="F409" s="11">
        <f ca="1">IF(HR[[#This Row],[ Employee Status]]="exited",HR[[#This Row],[ExitDate]]-HR[[#This Row],[HireDate]],TODAY()-HR[[#This Row],[HireDate]])/365</f>
        <v>5.1369863013698627</v>
      </c>
      <c r="G409" s="4" t="str">
        <f>IF(HR[[#This Row],[ Employee Status]]="still working","",YEAR(HR[[#This Row],[ExitDate]]))</f>
        <v/>
      </c>
      <c r="H409" s="6">
        <v>6423</v>
      </c>
      <c r="I409" s="10">
        <v>3.37</v>
      </c>
      <c r="J409" s="10">
        <v>4.13</v>
      </c>
      <c r="K409" s="4">
        <v>19</v>
      </c>
    </row>
    <row r="410" spans="1:11" x14ac:dyDescent="0.3">
      <c r="A410" s="4">
        <v>409</v>
      </c>
      <c r="B410" t="s">
        <v>11</v>
      </c>
      <c r="C410" s="1">
        <v>45155</v>
      </c>
      <c r="D410" s="1"/>
      <c r="E410" t="s">
        <v>8</v>
      </c>
      <c r="F410" s="11">
        <f ca="1">IF(HR[[#This Row],[ Employee Status]]="exited",HR[[#This Row],[ExitDate]]-HR[[#This Row],[HireDate]],TODAY()-HR[[#This Row],[HireDate]])/365</f>
        <v>2.8904109589041096</v>
      </c>
      <c r="G410" s="4" t="str">
        <f>IF(HR[[#This Row],[ Employee Status]]="still working","",YEAR(HR[[#This Row],[ExitDate]]))</f>
        <v/>
      </c>
      <c r="H410" s="6">
        <v>9236</v>
      </c>
      <c r="I410" s="10">
        <v>2.0299999999999998</v>
      </c>
      <c r="J410" s="10">
        <v>2.4300000000000002</v>
      </c>
      <c r="K410" s="4">
        <v>27</v>
      </c>
    </row>
    <row r="411" spans="1:11" x14ac:dyDescent="0.3">
      <c r="A411" s="4">
        <v>410</v>
      </c>
      <c r="B411" t="s">
        <v>14</v>
      </c>
      <c r="C411" s="1">
        <v>43747</v>
      </c>
      <c r="D411" s="1"/>
      <c r="E411" t="s">
        <v>8</v>
      </c>
      <c r="F411" s="11">
        <f ca="1">IF(HR[[#This Row],[ Employee Status]]="exited",HR[[#This Row],[ExitDate]]-HR[[#This Row],[HireDate]],TODAY()-HR[[#This Row],[HireDate]])/365</f>
        <v>6.7479452054794518</v>
      </c>
      <c r="G411" s="4" t="str">
        <f>IF(HR[[#This Row],[ Employee Status]]="still working","",YEAR(HR[[#This Row],[ExitDate]]))</f>
        <v/>
      </c>
      <c r="H411" s="6">
        <v>11148</v>
      </c>
      <c r="I411" s="10">
        <v>4.54</v>
      </c>
      <c r="J411" s="10">
        <v>3.92</v>
      </c>
      <c r="K411" s="4">
        <v>26</v>
      </c>
    </row>
    <row r="412" spans="1:11" x14ac:dyDescent="0.3">
      <c r="A412" s="4">
        <v>411</v>
      </c>
      <c r="B412" t="s">
        <v>14</v>
      </c>
      <c r="C412" s="1">
        <v>43130</v>
      </c>
      <c r="D412" s="1"/>
      <c r="E412" t="s">
        <v>8</v>
      </c>
      <c r="F412" s="11">
        <f ca="1">IF(HR[[#This Row],[ Employee Status]]="exited",HR[[#This Row],[ExitDate]]-HR[[#This Row],[HireDate]],TODAY()-HR[[#This Row],[HireDate]])/365</f>
        <v>8.4383561643835616</v>
      </c>
      <c r="G412" s="4" t="str">
        <f>IF(HR[[#This Row],[ Employee Status]]="still working","",YEAR(HR[[#This Row],[ExitDate]]))</f>
        <v/>
      </c>
      <c r="H412" s="6">
        <v>14128</v>
      </c>
      <c r="I412" s="10">
        <v>2</v>
      </c>
      <c r="J412" s="10">
        <v>4.6100000000000003</v>
      </c>
      <c r="K412" s="4">
        <v>21</v>
      </c>
    </row>
    <row r="413" spans="1:11" x14ac:dyDescent="0.3">
      <c r="A413" s="4">
        <v>412</v>
      </c>
      <c r="B413" t="s">
        <v>14</v>
      </c>
      <c r="C413" s="1">
        <v>44580</v>
      </c>
      <c r="D413" s="1"/>
      <c r="E413" t="s">
        <v>8</v>
      </c>
      <c r="F413" s="11">
        <f ca="1">IF(HR[[#This Row],[ Employee Status]]="exited",HR[[#This Row],[ExitDate]]-HR[[#This Row],[HireDate]],TODAY()-HR[[#This Row],[HireDate]])/365</f>
        <v>4.4657534246575343</v>
      </c>
      <c r="G413" s="4" t="str">
        <f>IF(HR[[#This Row],[ Employee Status]]="still working","",YEAR(HR[[#This Row],[ExitDate]]))</f>
        <v/>
      </c>
      <c r="H413" s="6">
        <v>9689</v>
      </c>
      <c r="I413" s="10">
        <v>4.28</v>
      </c>
      <c r="J413" s="10">
        <v>2.4900000000000002</v>
      </c>
      <c r="K413" s="4">
        <v>19</v>
      </c>
    </row>
    <row r="414" spans="1:11" x14ac:dyDescent="0.3">
      <c r="A414" s="4">
        <v>413</v>
      </c>
      <c r="B414" t="s">
        <v>11</v>
      </c>
      <c r="C414" s="1">
        <v>43987</v>
      </c>
      <c r="D414" s="1"/>
      <c r="E414" t="s">
        <v>8</v>
      </c>
      <c r="F414" s="11">
        <f ca="1">IF(HR[[#This Row],[ Employee Status]]="exited",HR[[#This Row],[ExitDate]]-HR[[#This Row],[HireDate]],TODAY()-HR[[#This Row],[HireDate]])/365</f>
        <v>6.0904109589041093</v>
      </c>
      <c r="G414" s="4" t="str">
        <f>IF(HR[[#This Row],[ Employee Status]]="still working","",YEAR(HR[[#This Row],[ExitDate]]))</f>
        <v/>
      </c>
      <c r="H414" s="6">
        <v>10778</v>
      </c>
      <c r="I414" s="10">
        <v>3.07</v>
      </c>
      <c r="J414" s="10">
        <v>4.1500000000000004</v>
      </c>
      <c r="K414" s="4">
        <v>19</v>
      </c>
    </row>
    <row r="415" spans="1:11" x14ac:dyDescent="0.3">
      <c r="A415" s="4">
        <v>414</v>
      </c>
      <c r="B415" t="s">
        <v>7</v>
      </c>
      <c r="C415" s="1">
        <v>43658</v>
      </c>
      <c r="D415" s="1"/>
      <c r="E415" t="s">
        <v>8</v>
      </c>
      <c r="F415" s="11">
        <f ca="1">IF(HR[[#This Row],[ Employee Status]]="exited",HR[[#This Row],[ExitDate]]-HR[[#This Row],[HireDate]],TODAY()-HR[[#This Row],[HireDate]])/365</f>
        <v>6.9917808219178079</v>
      </c>
      <c r="G415" s="4" t="str">
        <f>IF(HR[[#This Row],[ Employee Status]]="still working","",YEAR(HR[[#This Row],[ExitDate]]))</f>
        <v/>
      </c>
      <c r="H415" s="6">
        <v>6162</v>
      </c>
      <c r="I415" s="10">
        <v>4.71</v>
      </c>
      <c r="J415" s="10">
        <v>4.51</v>
      </c>
      <c r="K415" s="4">
        <v>19</v>
      </c>
    </row>
    <row r="416" spans="1:11" x14ac:dyDescent="0.3">
      <c r="A416" s="4">
        <v>415</v>
      </c>
      <c r="B416" t="s">
        <v>10</v>
      </c>
      <c r="C416" s="1">
        <v>44865</v>
      </c>
      <c r="D416" s="1"/>
      <c r="E416" t="s">
        <v>8</v>
      </c>
      <c r="F416" s="11">
        <f ca="1">IF(HR[[#This Row],[ Employee Status]]="exited",HR[[#This Row],[ExitDate]]-HR[[#This Row],[HireDate]],TODAY()-HR[[#This Row],[HireDate]])/365</f>
        <v>3.6849315068493151</v>
      </c>
      <c r="G416" s="4" t="str">
        <f>IF(HR[[#This Row],[ Employee Status]]="still working","",YEAR(HR[[#This Row],[ExitDate]]))</f>
        <v/>
      </c>
      <c r="H416" s="6">
        <v>6786</v>
      </c>
      <c r="I416" s="10">
        <v>4.87</v>
      </c>
      <c r="J416" s="10">
        <v>1.59</v>
      </c>
      <c r="K416" s="4">
        <v>23</v>
      </c>
    </row>
    <row r="417" spans="1:11" x14ac:dyDescent="0.3">
      <c r="A417" s="4">
        <v>416</v>
      </c>
      <c r="B417" t="s">
        <v>7</v>
      </c>
      <c r="C417" s="1">
        <v>44553</v>
      </c>
      <c r="D417" s="1"/>
      <c r="E417" t="s">
        <v>8</v>
      </c>
      <c r="F417" s="11">
        <f ca="1">IF(HR[[#This Row],[ Employee Status]]="exited",HR[[#This Row],[ExitDate]]-HR[[#This Row],[HireDate]],TODAY()-HR[[#This Row],[HireDate]])/365</f>
        <v>4.5397260273972604</v>
      </c>
      <c r="G417" s="4" t="str">
        <f>IF(HR[[#This Row],[ Employee Status]]="still working","",YEAR(HR[[#This Row],[ExitDate]]))</f>
        <v/>
      </c>
      <c r="H417" s="6">
        <v>10423</v>
      </c>
      <c r="I417" s="10">
        <v>3.55</v>
      </c>
      <c r="J417" s="10">
        <v>4.04</v>
      </c>
      <c r="K417" s="4">
        <v>18</v>
      </c>
    </row>
    <row r="418" spans="1:11" x14ac:dyDescent="0.3">
      <c r="A418" s="4">
        <v>417</v>
      </c>
      <c r="B418" t="s">
        <v>10</v>
      </c>
      <c r="C418" s="1">
        <v>45362</v>
      </c>
      <c r="D418" s="1"/>
      <c r="E418" t="s">
        <v>8</v>
      </c>
      <c r="F418" s="11">
        <f ca="1">IF(HR[[#This Row],[ Employee Status]]="exited",HR[[#This Row],[ExitDate]]-HR[[#This Row],[HireDate]],TODAY()-HR[[#This Row],[HireDate]])/365</f>
        <v>2.3232876712328765</v>
      </c>
      <c r="G418" s="4" t="str">
        <f>IF(HR[[#This Row],[ Employee Status]]="still working","",YEAR(HR[[#This Row],[ExitDate]]))</f>
        <v/>
      </c>
      <c r="H418" s="6">
        <v>10812</v>
      </c>
      <c r="I418" s="10">
        <v>3.43</v>
      </c>
      <c r="J418" s="10">
        <v>2.99</v>
      </c>
      <c r="K418" s="4">
        <v>19</v>
      </c>
    </row>
    <row r="419" spans="1:11" x14ac:dyDescent="0.3">
      <c r="A419" s="4">
        <v>418</v>
      </c>
      <c r="B419" t="s">
        <v>13</v>
      </c>
      <c r="C419" s="1">
        <v>43260</v>
      </c>
      <c r="D419" s="1"/>
      <c r="E419" t="s">
        <v>8</v>
      </c>
      <c r="F419" s="11">
        <f ca="1">IF(HR[[#This Row],[ Employee Status]]="exited",HR[[#This Row],[ExitDate]]-HR[[#This Row],[HireDate]],TODAY()-HR[[#This Row],[HireDate]])/365</f>
        <v>8.0821917808219172</v>
      </c>
      <c r="G419" s="4" t="str">
        <f>IF(HR[[#This Row],[ Employee Status]]="still working","",YEAR(HR[[#This Row],[ExitDate]]))</f>
        <v/>
      </c>
      <c r="H419" s="6">
        <v>12583</v>
      </c>
      <c r="I419" s="10">
        <v>2.62</v>
      </c>
      <c r="J419" s="10">
        <v>1.28</v>
      </c>
      <c r="K419" s="4">
        <v>3</v>
      </c>
    </row>
    <row r="420" spans="1:11" x14ac:dyDescent="0.3">
      <c r="A420" s="4">
        <v>419</v>
      </c>
      <c r="B420" t="s">
        <v>14</v>
      </c>
      <c r="C420" s="1">
        <v>43489</v>
      </c>
      <c r="D420" s="1"/>
      <c r="E420" t="s">
        <v>8</v>
      </c>
      <c r="F420" s="11">
        <f ca="1">IF(HR[[#This Row],[ Employee Status]]="exited",HR[[#This Row],[ExitDate]]-HR[[#This Row],[HireDate]],TODAY()-HR[[#This Row],[HireDate]])/365</f>
        <v>7.4547945205479449</v>
      </c>
      <c r="G420" s="4" t="str">
        <f>IF(HR[[#This Row],[ Employee Status]]="still working","",YEAR(HR[[#This Row],[ExitDate]]))</f>
        <v/>
      </c>
      <c r="H420" s="6">
        <v>5468</v>
      </c>
      <c r="I420" s="10">
        <v>4.4800000000000004</v>
      </c>
      <c r="J420" s="10">
        <v>1.19</v>
      </c>
      <c r="K420" s="4">
        <v>3</v>
      </c>
    </row>
    <row r="421" spans="1:11" x14ac:dyDescent="0.3">
      <c r="A421" s="4">
        <v>420</v>
      </c>
      <c r="B421" t="s">
        <v>10</v>
      </c>
      <c r="C421" s="1">
        <v>45096</v>
      </c>
      <c r="D421" s="1"/>
      <c r="E421" t="s">
        <v>8</v>
      </c>
      <c r="F421" s="11">
        <f ca="1">IF(HR[[#This Row],[ Employee Status]]="exited",HR[[#This Row],[ExitDate]]-HR[[#This Row],[HireDate]],TODAY()-HR[[#This Row],[HireDate]])/365</f>
        <v>3.0520547945205481</v>
      </c>
      <c r="G421" s="4" t="str">
        <f>IF(HR[[#This Row],[ Employee Status]]="still working","",YEAR(HR[[#This Row],[ExitDate]]))</f>
        <v/>
      </c>
      <c r="H421" s="6">
        <v>6075</v>
      </c>
      <c r="I421" s="10">
        <v>3.62</v>
      </c>
      <c r="J421" s="10">
        <v>2.13</v>
      </c>
      <c r="K421" s="4">
        <v>22</v>
      </c>
    </row>
    <row r="422" spans="1:11" x14ac:dyDescent="0.3">
      <c r="A422" s="4">
        <v>421</v>
      </c>
      <c r="B422" t="s">
        <v>11</v>
      </c>
      <c r="C422" s="1">
        <v>44687</v>
      </c>
      <c r="D422" s="1">
        <v>45488</v>
      </c>
      <c r="E422" t="s">
        <v>12</v>
      </c>
      <c r="F422" s="11">
        <f ca="1">IF(HR[[#This Row],[ Employee Status]]="exited",HR[[#This Row],[ExitDate]]-HR[[#This Row],[HireDate]],TODAY()-HR[[#This Row],[HireDate]])/365</f>
        <v>2.1945205479452055</v>
      </c>
      <c r="G422" s="4">
        <f>IF(HR[[#This Row],[ Employee Status]]="still working","",YEAR(HR[[#This Row],[ExitDate]]))</f>
        <v>2024</v>
      </c>
      <c r="H422" s="6">
        <v>7276</v>
      </c>
      <c r="I422" s="10">
        <v>3.25</v>
      </c>
      <c r="J422" s="10">
        <v>3.09</v>
      </c>
      <c r="K422" s="4">
        <v>4</v>
      </c>
    </row>
    <row r="423" spans="1:11" x14ac:dyDescent="0.3">
      <c r="A423" s="4">
        <v>422</v>
      </c>
      <c r="B423" t="s">
        <v>11</v>
      </c>
      <c r="C423" s="1">
        <v>44082</v>
      </c>
      <c r="D423" s="1"/>
      <c r="E423" t="s">
        <v>8</v>
      </c>
      <c r="F423" s="11">
        <f ca="1">IF(HR[[#This Row],[ Employee Status]]="exited",HR[[#This Row],[ExitDate]]-HR[[#This Row],[HireDate]],TODAY()-HR[[#This Row],[HireDate]])/365</f>
        <v>5.8301369863013699</v>
      </c>
      <c r="G423" s="4" t="str">
        <f>IF(HR[[#This Row],[ Employee Status]]="still working","",YEAR(HR[[#This Row],[ExitDate]]))</f>
        <v/>
      </c>
      <c r="H423" s="6">
        <v>6156</v>
      </c>
      <c r="I423" s="10">
        <v>2</v>
      </c>
      <c r="J423" s="10">
        <v>3.92</v>
      </c>
      <c r="K423" s="4">
        <v>27</v>
      </c>
    </row>
    <row r="424" spans="1:11" x14ac:dyDescent="0.3">
      <c r="A424" s="4">
        <v>423</v>
      </c>
      <c r="B424" t="s">
        <v>14</v>
      </c>
      <c r="C424" s="1">
        <v>44601</v>
      </c>
      <c r="D424" s="1"/>
      <c r="E424" t="s">
        <v>8</v>
      </c>
      <c r="F424" s="11">
        <f ca="1">IF(HR[[#This Row],[ Employee Status]]="exited",HR[[#This Row],[ExitDate]]-HR[[#This Row],[HireDate]],TODAY()-HR[[#This Row],[HireDate]])/365</f>
        <v>4.4082191780821915</v>
      </c>
      <c r="G424" s="4" t="str">
        <f>IF(HR[[#This Row],[ Employee Status]]="still working","",YEAR(HR[[#This Row],[ExitDate]]))</f>
        <v/>
      </c>
      <c r="H424" s="6">
        <v>13990</v>
      </c>
      <c r="I424" s="10">
        <v>3.83</v>
      </c>
      <c r="J424" s="10">
        <v>4.58</v>
      </c>
      <c r="K424" s="4">
        <v>4</v>
      </c>
    </row>
    <row r="425" spans="1:11" x14ac:dyDescent="0.3">
      <c r="A425" s="4">
        <v>424</v>
      </c>
      <c r="B425" t="s">
        <v>14</v>
      </c>
      <c r="C425" s="1">
        <v>43462</v>
      </c>
      <c r="D425" s="1"/>
      <c r="E425" t="s">
        <v>8</v>
      </c>
      <c r="F425" s="11">
        <f ca="1">IF(HR[[#This Row],[ Employee Status]]="exited",HR[[#This Row],[ExitDate]]-HR[[#This Row],[HireDate]],TODAY()-HR[[#This Row],[HireDate]])/365</f>
        <v>7.5287671232876709</v>
      </c>
      <c r="G425" s="4" t="str">
        <f>IF(HR[[#This Row],[ Employee Status]]="still working","",YEAR(HR[[#This Row],[ExitDate]]))</f>
        <v/>
      </c>
      <c r="H425" s="6">
        <v>3205</v>
      </c>
      <c r="I425" s="10">
        <v>5</v>
      </c>
      <c r="J425" s="10">
        <v>2.62</v>
      </c>
      <c r="K425" s="4">
        <v>15</v>
      </c>
    </row>
    <row r="426" spans="1:11" x14ac:dyDescent="0.3">
      <c r="A426" s="4">
        <v>425</v>
      </c>
      <c r="B426" t="s">
        <v>7</v>
      </c>
      <c r="C426" s="1">
        <v>43187</v>
      </c>
      <c r="D426" s="1">
        <v>43429</v>
      </c>
      <c r="E426" t="s">
        <v>12</v>
      </c>
      <c r="F426" s="11">
        <f ca="1">IF(HR[[#This Row],[ Employee Status]]="exited",HR[[#This Row],[ExitDate]]-HR[[#This Row],[HireDate]],TODAY()-HR[[#This Row],[HireDate]])/365</f>
        <v>0.66301369863013704</v>
      </c>
      <c r="G426" s="4">
        <f>IF(HR[[#This Row],[ Employee Status]]="still working","",YEAR(HR[[#This Row],[ExitDate]]))</f>
        <v>2018</v>
      </c>
      <c r="H426" s="6">
        <v>11501</v>
      </c>
      <c r="I426" s="10">
        <v>2.2400000000000002</v>
      </c>
      <c r="J426" s="10">
        <v>3.18</v>
      </c>
      <c r="K426" s="4">
        <v>9</v>
      </c>
    </row>
    <row r="427" spans="1:11" x14ac:dyDescent="0.3">
      <c r="A427" s="4">
        <v>426</v>
      </c>
      <c r="B427" t="s">
        <v>10</v>
      </c>
      <c r="C427" s="1">
        <v>44100</v>
      </c>
      <c r="D427" s="1"/>
      <c r="E427" t="s">
        <v>8</v>
      </c>
      <c r="F427" s="11">
        <f ca="1">IF(HR[[#This Row],[ Employee Status]]="exited",HR[[#This Row],[ExitDate]]-HR[[#This Row],[HireDate]],TODAY()-HR[[#This Row],[HireDate]])/365</f>
        <v>5.7808219178082192</v>
      </c>
      <c r="G427" s="4" t="str">
        <f>IF(HR[[#This Row],[ Employee Status]]="still working","",YEAR(HR[[#This Row],[ExitDate]]))</f>
        <v/>
      </c>
      <c r="H427" s="6">
        <v>11712</v>
      </c>
      <c r="I427" s="10">
        <v>3.45</v>
      </c>
      <c r="J427" s="10">
        <v>2.4500000000000002</v>
      </c>
      <c r="K427" s="4">
        <v>15</v>
      </c>
    </row>
    <row r="428" spans="1:11" x14ac:dyDescent="0.3">
      <c r="A428" s="4">
        <v>427</v>
      </c>
      <c r="B428" t="s">
        <v>13</v>
      </c>
      <c r="C428" s="1">
        <v>44133</v>
      </c>
      <c r="D428" s="1"/>
      <c r="E428" t="s">
        <v>8</v>
      </c>
      <c r="F428" s="11">
        <f ca="1">IF(HR[[#This Row],[ Employee Status]]="exited",HR[[#This Row],[ExitDate]]-HR[[#This Row],[HireDate]],TODAY()-HR[[#This Row],[HireDate]])/365</f>
        <v>5.6904109589041099</v>
      </c>
      <c r="G428" s="4" t="str">
        <f>IF(HR[[#This Row],[ Employee Status]]="still working","",YEAR(HR[[#This Row],[ExitDate]]))</f>
        <v/>
      </c>
      <c r="H428" s="6">
        <v>8754</v>
      </c>
      <c r="I428" s="10">
        <v>3.54</v>
      </c>
      <c r="J428" s="10">
        <v>3.04</v>
      </c>
      <c r="K428" s="4">
        <v>3</v>
      </c>
    </row>
    <row r="429" spans="1:11" x14ac:dyDescent="0.3">
      <c r="A429" s="4">
        <v>428</v>
      </c>
      <c r="B429" t="s">
        <v>10</v>
      </c>
      <c r="C429" s="1">
        <v>44368</v>
      </c>
      <c r="D429" s="1">
        <v>44987</v>
      </c>
      <c r="E429" t="s">
        <v>12</v>
      </c>
      <c r="F429" s="11">
        <f ca="1">IF(HR[[#This Row],[ Employee Status]]="exited",HR[[#This Row],[ExitDate]]-HR[[#This Row],[HireDate]],TODAY()-HR[[#This Row],[HireDate]])/365</f>
        <v>1.6958904109589041</v>
      </c>
      <c r="G429" s="4">
        <f>IF(HR[[#This Row],[ Employee Status]]="still working","",YEAR(HR[[#This Row],[ExitDate]]))</f>
        <v>2023</v>
      </c>
      <c r="H429" s="6">
        <v>7199</v>
      </c>
      <c r="I429" s="10">
        <v>4.41</v>
      </c>
      <c r="J429" s="10">
        <v>1.49</v>
      </c>
      <c r="K429" s="4">
        <v>25</v>
      </c>
    </row>
    <row r="430" spans="1:11" x14ac:dyDescent="0.3">
      <c r="A430" s="4">
        <v>429</v>
      </c>
      <c r="B430" t="s">
        <v>11</v>
      </c>
      <c r="C430" s="1">
        <v>43694</v>
      </c>
      <c r="D430" s="1"/>
      <c r="E430" t="s">
        <v>8</v>
      </c>
      <c r="F430" s="11">
        <f ca="1">IF(HR[[#This Row],[ Employee Status]]="exited",HR[[#This Row],[ExitDate]]-HR[[#This Row],[HireDate]],TODAY()-HR[[#This Row],[HireDate]])/365</f>
        <v>6.8931506849315065</v>
      </c>
      <c r="G430" s="4" t="str">
        <f>IF(HR[[#This Row],[ Employee Status]]="still working","",YEAR(HR[[#This Row],[ExitDate]]))</f>
        <v/>
      </c>
      <c r="H430" s="6">
        <v>8960</v>
      </c>
      <c r="I430" s="10">
        <v>2.4300000000000002</v>
      </c>
      <c r="J430" s="10">
        <v>1.85</v>
      </c>
      <c r="K430" s="4">
        <v>19</v>
      </c>
    </row>
    <row r="431" spans="1:11" x14ac:dyDescent="0.3">
      <c r="A431" s="4">
        <v>430</v>
      </c>
      <c r="B431" t="s">
        <v>14</v>
      </c>
      <c r="C431" s="1">
        <v>45311</v>
      </c>
      <c r="D431" s="1">
        <v>46545</v>
      </c>
      <c r="E431" t="s">
        <v>12</v>
      </c>
      <c r="F431" s="11">
        <f ca="1">IF(HR[[#This Row],[ Employee Status]]="exited",HR[[#This Row],[ExitDate]]-HR[[#This Row],[HireDate]],TODAY()-HR[[#This Row],[HireDate]])/365</f>
        <v>3.3808219178082193</v>
      </c>
      <c r="G431" s="4">
        <f>IF(HR[[#This Row],[ Employee Status]]="still working","",YEAR(HR[[#This Row],[ExitDate]]))</f>
        <v>2027</v>
      </c>
      <c r="H431" s="6">
        <v>6408</v>
      </c>
      <c r="I431" s="10">
        <v>3.69</v>
      </c>
      <c r="J431" s="10">
        <v>4.79</v>
      </c>
      <c r="K431" s="4">
        <v>0</v>
      </c>
    </row>
    <row r="432" spans="1:11" x14ac:dyDescent="0.3">
      <c r="A432" s="4">
        <v>431</v>
      </c>
      <c r="B432" t="s">
        <v>10</v>
      </c>
      <c r="C432" s="1">
        <v>43432</v>
      </c>
      <c r="D432" s="1"/>
      <c r="E432" t="s">
        <v>8</v>
      </c>
      <c r="F432" s="11">
        <f ca="1">IF(HR[[#This Row],[ Employee Status]]="exited",HR[[#This Row],[ExitDate]]-HR[[#This Row],[HireDate]],TODAY()-HR[[#This Row],[HireDate]])/365</f>
        <v>7.6109589041095891</v>
      </c>
      <c r="G432" s="4" t="str">
        <f>IF(HR[[#This Row],[ Employee Status]]="still working","",YEAR(HR[[#This Row],[ExitDate]]))</f>
        <v/>
      </c>
      <c r="H432" s="6">
        <v>6171</v>
      </c>
      <c r="I432" s="10">
        <v>3.15</v>
      </c>
      <c r="J432" s="10">
        <v>1.1000000000000001</v>
      </c>
      <c r="K432" s="4">
        <v>19</v>
      </c>
    </row>
    <row r="433" spans="1:11" x14ac:dyDescent="0.3">
      <c r="A433" s="4">
        <v>432</v>
      </c>
      <c r="B433" t="s">
        <v>11</v>
      </c>
      <c r="C433" s="1">
        <v>45372</v>
      </c>
      <c r="D433" s="1"/>
      <c r="E433" t="s">
        <v>8</v>
      </c>
      <c r="F433" s="11">
        <f ca="1">IF(HR[[#This Row],[ Employee Status]]="exited",HR[[#This Row],[ExitDate]]-HR[[#This Row],[HireDate]],TODAY()-HR[[#This Row],[HireDate]])/365</f>
        <v>2.2958904109589042</v>
      </c>
      <c r="G433" s="4" t="str">
        <f>IF(HR[[#This Row],[ Employee Status]]="still working","",YEAR(HR[[#This Row],[ExitDate]]))</f>
        <v/>
      </c>
      <c r="H433" s="6">
        <v>14065</v>
      </c>
      <c r="I433" s="10">
        <v>2.29</v>
      </c>
      <c r="J433" s="10">
        <v>3.24</v>
      </c>
      <c r="K433" s="4">
        <v>28</v>
      </c>
    </row>
    <row r="434" spans="1:11" x14ac:dyDescent="0.3">
      <c r="A434" s="4">
        <v>433</v>
      </c>
      <c r="B434" t="s">
        <v>13</v>
      </c>
      <c r="C434" s="1">
        <v>43653</v>
      </c>
      <c r="D434" s="1">
        <v>44358</v>
      </c>
      <c r="E434" t="s">
        <v>12</v>
      </c>
      <c r="F434" s="11">
        <f ca="1">IF(HR[[#This Row],[ Employee Status]]="exited",HR[[#This Row],[ExitDate]]-HR[[#This Row],[HireDate]],TODAY()-HR[[#This Row],[HireDate]])/365</f>
        <v>1.9315068493150684</v>
      </c>
      <c r="G434" s="4">
        <f>IF(HR[[#This Row],[ Employee Status]]="still working","",YEAR(HR[[#This Row],[ExitDate]]))</f>
        <v>2021</v>
      </c>
      <c r="H434" s="6">
        <v>3992</v>
      </c>
      <c r="I434" s="10">
        <v>3.51</v>
      </c>
      <c r="J434" s="10">
        <v>3.87</v>
      </c>
      <c r="K434" s="4">
        <v>5</v>
      </c>
    </row>
    <row r="435" spans="1:11" x14ac:dyDescent="0.3">
      <c r="A435" s="4">
        <v>434</v>
      </c>
      <c r="B435" t="s">
        <v>11</v>
      </c>
      <c r="C435" s="1">
        <v>43923</v>
      </c>
      <c r="D435" s="1"/>
      <c r="E435" t="s">
        <v>8</v>
      </c>
      <c r="F435" s="11">
        <f ca="1">IF(HR[[#This Row],[ Employee Status]]="exited",HR[[#This Row],[ExitDate]]-HR[[#This Row],[HireDate]],TODAY()-HR[[#This Row],[HireDate]])/365</f>
        <v>6.2657534246575342</v>
      </c>
      <c r="G435" s="4" t="str">
        <f>IF(HR[[#This Row],[ Employee Status]]="still working","",YEAR(HR[[#This Row],[ExitDate]]))</f>
        <v/>
      </c>
      <c r="H435" s="6">
        <v>11850</v>
      </c>
      <c r="I435" s="10">
        <v>4.5999999999999996</v>
      </c>
      <c r="J435" s="10">
        <v>1.63</v>
      </c>
      <c r="K435" s="4">
        <v>3</v>
      </c>
    </row>
    <row r="436" spans="1:11" x14ac:dyDescent="0.3">
      <c r="A436" s="4">
        <v>435</v>
      </c>
      <c r="B436" t="s">
        <v>10</v>
      </c>
      <c r="C436" s="1">
        <v>43296</v>
      </c>
      <c r="D436" s="1"/>
      <c r="E436" t="s">
        <v>8</v>
      </c>
      <c r="F436" s="11">
        <f ca="1">IF(HR[[#This Row],[ Employee Status]]="exited",HR[[#This Row],[ExitDate]]-HR[[#This Row],[HireDate]],TODAY()-HR[[#This Row],[HireDate]])/365</f>
        <v>7.9835616438356167</v>
      </c>
      <c r="G436" s="4" t="str">
        <f>IF(HR[[#This Row],[ Employee Status]]="still working","",YEAR(HR[[#This Row],[ExitDate]]))</f>
        <v/>
      </c>
      <c r="H436" s="6">
        <v>6093</v>
      </c>
      <c r="I436" s="10">
        <v>2.75</v>
      </c>
      <c r="J436" s="10">
        <v>3.5</v>
      </c>
      <c r="K436" s="4">
        <v>2</v>
      </c>
    </row>
    <row r="437" spans="1:11" x14ac:dyDescent="0.3">
      <c r="A437" s="4">
        <v>436</v>
      </c>
      <c r="B437" t="s">
        <v>14</v>
      </c>
      <c r="C437" s="1">
        <v>45143</v>
      </c>
      <c r="D437" s="1">
        <v>45611</v>
      </c>
      <c r="E437" t="s">
        <v>12</v>
      </c>
      <c r="F437" s="11">
        <f ca="1">IF(HR[[#This Row],[ Employee Status]]="exited",HR[[#This Row],[ExitDate]]-HR[[#This Row],[HireDate]],TODAY()-HR[[#This Row],[HireDate]])/365</f>
        <v>1.2821917808219179</v>
      </c>
      <c r="G437" s="4">
        <f>IF(HR[[#This Row],[ Employee Status]]="still working","",YEAR(HR[[#This Row],[ExitDate]]))</f>
        <v>2024</v>
      </c>
      <c r="H437" s="6">
        <v>8960</v>
      </c>
      <c r="I437" s="10">
        <v>2.16</v>
      </c>
      <c r="J437" s="10">
        <v>3.2</v>
      </c>
      <c r="K437" s="4">
        <v>29</v>
      </c>
    </row>
    <row r="438" spans="1:11" x14ac:dyDescent="0.3">
      <c r="A438" s="4">
        <v>437</v>
      </c>
      <c r="B438" t="s">
        <v>7</v>
      </c>
      <c r="C438" s="1">
        <v>44545</v>
      </c>
      <c r="D438" s="1"/>
      <c r="E438" t="s">
        <v>8</v>
      </c>
      <c r="F438" s="11">
        <f ca="1">IF(HR[[#This Row],[ Employee Status]]="exited",HR[[#This Row],[ExitDate]]-HR[[#This Row],[HireDate]],TODAY()-HR[[#This Row],[HireDate]])/365</f>
        <v>4.5616438356164384</v>
      </c>
      <c r="G438" s="4" t="str">
        <f>IF(HR[[#This Row],[ Employee Status]]="still working","",YEAR(HR[[#This Row],[ExitDate]]))</f>
        <v/>
      </c>
      <c r="H438" s="6">
        <v>3139</v>
      </c>
      <c r="I438" s="10">
        <v>4.2</v>
      </c>
      <c r="J438" s="10">
        <v>2.62</v>
      </c>
      <c r="K438" s="4">
        <v>21</v>
      </c>
    </row>
    <row r="439" spans="1:11" x14ac:dyDescent="0.3">
      <c r="A439" s="4">
        <v>438</v>
      </c>
      <c r="B439" t="s">
        <v>13</v>
      </c>
      <c r="C439" s="1">
        <v>44790</v>
      </c>
      <c r="D439" s="1"/>
      <c r="E439" t="s">
        <v>8</v>
      </c>
      <c r="F439" s="11">
        <f ca="1">IF(HR[[#This Row],[ Employee Status]]="exited",HR[[#This Row],[ExitDate]]-HR[[#This Row],[HireDate]],TODAY()-HR[[#This Row],[HireDate]])/365</f>
        <v>3.8904109589041096</v>
      </c>
      <c r="G439" s="4" t="str">
        <f>IF(HR[[#This Row],[ Employee Status]]="still working","",YEAR(HR[[#This Row],[ExitDate]]))</f>
        <v/>
      </c>
      <c r="H439" s="6">
        <v>3049</v>
      </c>
      <c r="I439" s="10">
        <v>3</v>
      </c>
      <c r="J439" s="10">
        <v>1.23</v>
      </c>
      <c r="K439" s="4">
        <v>14</v>
      </c>
    </row>
    <row r="440" spans="1:11" x14ac:dyDescent="0.3">
      <c r="A440" s="4">
        <v>439</v>
      </c>
      <c r="B440" t="s">
        <v>13</v>
      </c>
      <c r="C440" s="1">
        <v>45461</v>
      </c>
      <c r="D440" s="1"/>
      <c r="E440" t="s">
        <v>8</v>
      </c>
      <c r="F440" s="11">
        <f ca="1">IF(HR[[#This Row],[ Employee Status]]="exited",HR[[#This Row],[ExitDate]]-HR[[#This Row],[HireDate]],TODAY()-HR[[#This Row],[HireDate]])/365</f>
        <v>2.0520547945205481</v>
      </c>
      <c r="G440" s="4" t="str">
        <f>IF(HR[[#This Row],[ Employee Status]]="still working","",YEAR(HR[[#This Row],[ExitDate]]))</f>
        <v/>
      </c>
      <c r="H440" s="6">
        <v>6765</v>
      </c>
      <c r="I440" s="10">
        <v>4.34</v>
      </c>
      <c r="J440" s="10">
        <v>4.1399999999999997</v>
      </c>
      <c r="K440" s="4">
        <v>28</v>
      </c>
    </row>
    <row r="441" spans="1:11" x14ac:dyDescent="0.3">
      <c r="A441" s="4">
        <v>440</v>
      </c>
      <c r="B441" t="s">
        <v>7</v>
      </c>
      <c r="C441" s="1">
        <v>43169</v>
      </c>
      <c r="D441" s="1"/>
      <c r="E441" t="s">
        <v>8</v>
      </c>
      <c r="F441" s="11">
        <f ca="1">IF(HR[[#This Row],[ Employee Status]]="exited",HR[[#This Row],[ExitDate]]-HR[[#This Row],[HireDate]],TODAY()-HR[[#This Row],[HireDate]])/365</f>
        <v>8.331506849315069</v>
      </c>
      <c r="G441" s="4" t="str">
        <f>IF(HR[[#This Row],[ Employee Status]]="still working","",YEAR(HR[[#This Row],[ExitDate]]))</f>
        <v/>
      </c>
      <c r="H441" s="6">
        <v>8911</v>
      </c>
      <c r="I441" s="10">
        <v>4.9400000000000004</v>
      </c>
      <c r="J441" s="10">
        <v>1.27</v>
      </c>
      <c r="K441" s="4">
        <v>28</v>
      </c>
    </row>
    <row r="442" spans="1:11" x14ac:dyDescent="0.3">
      <c r="A442" s="4">
        <v>441</v>
      </c>
      <c r="B442" t="s">
        <v>10</v>
      </c>
      <c r="C442" s="1">
        <v>43812</v>
      </c>
      <c r="D442" s="1">
        <v>44248</v>
      </c>
      <c r="E442" t="s">
        <v>12</v>
      </c>
      <c r="F442" s="11">
        <f ca="1">IF(HR[[#This Row],[ Employee Status]]="exited",HR[[#This Row],[ExitDate]]-HR[[#This Row],[HireDate]],TODAY()-HR[[#This Row],[HireDate]])/365</f>
        <v>1.1945205479452055</v>
      </c>
      <c r="G442" s="4">
        <f>IF(HR[[#This Row],[ Employee Status]]="still working","",YEAR(HR[[#This Row],[ExitDate]]))</f>
        <v>2021</v>
      </c>
      <c r="H442" s="6">
        <v>3517</v>
      </c>
      <c r="I442" s="10">
        <v>3.67</v>
      </c>
      <c r="J442" s="10">
        <v>1.76</v>
      </c>
      <c r="K442" s="4">
        <v>19</v>
      </c>
    </row>
    <row r="443" spans="1:11" x14ac:dyDescent="0.3">
      <c r="A443" s="4">
        <v>442</v>
      </c>
      <c r="B443" t="s">
        <v>14</v>
      </c>
      <c r="C443" s="1">
        <v>44295</v>
      </c>
      <c r="D443" s="1"/>
      <c r="E443" t="s">
        <v>8</v>
      </c>
      <c r="F443" s="11">
        <f ca="1">IF(HR[[#This Row],[ Employee Status]]="exited",HR[[#This Row],[ExitDate]]-HR[[#This Row],[HireDate]],TODAY()-HR[[#This Row],[HireDate]])/365</f>
        <v>5.2465753424657535</v>
      </c>
      <c r="G443" s="4" t="str">
        <f>IF(HR[[#This Row],[ Employee Status]]="still working","",YEAR(HR[[#This Row],[ExitDate]]))</f>
        <v/>
      </c>
      <c r="H443" s="6">
        <v>8808</v>
      </c>
      <c r="I443" s="10">
        <v>2.62</v>
      </c>
      <c r="J443" s="10">
        <v>2.93</v>
      </c>
      <c r="K443" s="4">
        <v>15</v>
      </c>
    </row>
    <row r="444" spans="1:11" x14ac:dyDescent="0.3">
      <c r="A444" s="4">
        <v>443</v>
      </c>
      <c r="B444" t="s">
        <v>10</v>
      </c>
      <c r="C444" s="1">
        <v>43462</v>
      </c>
      <c r="D444" s="1"/>
      <c r="E444" t="s">
        <v>8</v>
      </c>
      <c r="F444" s="11">
        <f ca="1">IF(HR[[#This Row],[ Employee Status]]="exited",HR[[#This Row],[ExitDate]]-HR[[#This Row],[HireDate]],TODAY()-HR[[#This Row],[HireDate]])/365</f>
        <v>7.5287671232876709</v>
      </c>
      <c r="G444" s="4" t="str">
        <f>IF(HR[[#This Row],[ Employee Status]]="still working","",YEAR(HR[[#This Row],[ExitDate]]))</f>
        <v/>
      </c>
      <c r="H444" s="6">
        <v>9309</v>
      </c>
      <c r="I444" s="10">
        <v>2.23</v>
      </c>
      <c r="J444" s="10">
        <v>1.3</v>
      </c>
      <c r="K444" s="4">
        <v>5</v>
      </c>
    </row>
    <row r="445" spans="1:11" x14ac:dyDescent="0.3">
      <c r="A445" s="4">
        <v>444</v>
      </c>
      <c r="B445" t="s">
        <v>13</v>
      </c>
      <c r="C445" s="1">
        <v>43642</v>
      </c>
      <c r="D445" s="1"/>
      <c r="E445" t="s">
        <v>8</v>
      </c>
      <c r="F445" s="11">
        <f ca="1">IF(HR[[#This Row],[ Employee Status]]="exited",HR[[#This Row],[ExitDate]]-HR[[#This Row],[HireDate]],TODAY()-HR[[#This Row],[HireDate]])/365</f>
        <v>7.0356164383561648</v>
      </c>
      <c r="G445" s="4" t="str">
        <f>IF(HR[[#This Row],[ Employee Status]]="still working","",YEAR(HR[[#This Row],[ExitDate]]))</f>
        <v/>
      </c>
      <c r="H445" s="6">
        <v>5195</v>
      </c>
      <c r="I445" s="10">
        <v>3.95</v>
      </c>
      <c r="J445" s="10">
        <v>2.0699999999999998</v>
      </c>
      <c r="K445" s="4">
        <v>1</v>
      </c>
    </row>
    <row r="446" spans="1:11" x14ac:dyDescent="0.3">
      <c r="A446" s="4">
        <v>445</v>
      </c>
      <c r="B446" t="s">
        <v>11</v>
      </c>
      <c r="C446" s="1">
        <v>44661</v>
      </c>
      <c r="D446" s="1"/>
      <c r="E446" t="s">
        <v>8</v>
      </c>
      <c r="F446" s="11">
        <f ca="1">IF(HR[[#This Row],[ Employee Status]]="exited",HR[[#This Row],[ExitDate]]-HR[[#This Row],[HireDate]],TODAY()-HR[[#This Row],[HireDate]])/365</f>
        <v>4.2438356164383562</v>
      </c>
      <c r="G446" s="4" t="str">
        <f>IF(HR[[#This Row],[ Employee Status]]="still working","",YEAR(HR[[#This Row],[ExitDate]]))</f>
        <v/>
      </c>
      <c r="H446" s="6">
        <v>4742</v>
      </c>
      <c r="I446" s="10">
        <v>4.0199999999999996</v>
      </c>
      <c r="J446" s="10">
        <v>3.33</v>
      </c>
      <c r="K446" s="4">
        <v>26</v>
      </c>
    </row>
    <row r="447" spans="1:11" x14ac:dyDescent="0.3">
      <c r="A447" s="4">
        <v>446</v>
      </c>
      <c r="B447" t="s">
        <v>9</v>
      </c>
      <c r="C447" s="1">
        <v>44302</v>
      </c>
      <c r="D447" s="1"/>
      <c r="E447" t="s">
        <v>8</v>
      </c>
      <c r="F447" s="11">
        <f ca="1">IF(HR[[#This Row],[ Employee Status]]="exited",HR[[#This Row],[ExitDate]]-HR[[#This Row],[HireDate]],TODAY()-HR[[#This Row],[HireDate]])/365</f>
        <v>5.2273972602739729</v>
      </c>
      <c r="G447" s="4" t="str">
        <f>IF(HR[[#This Row],[ Employee Status]]="still working","",YEAR(HR[[#This Row],[ExitDate]]))</f>
        <v/>
      </c>
      <c r="H447" s="6">
        <v>5305</v>
      </c>
      <c r="I447" s="10">
        <v>2.3199999999999998</v>
      </c>
      <c r="J447" s="10">
        <v>1.62</v>
      </c>
      <c r="K447" s="4">
        <v>14</v>
      </c>
    </row>
    <row r="448" spans="1:11" x14ac:dyDescent="0.3">
      <c r="A448" s="4">
        <v>447</v>
      </c>
      <c r="B448" t="s">
        <v>14</v>
      </c>
      <c r="C448" s="1">
        <v>45203</v>
      </c>
      <c r="D448" s="1"/>
      <c r="E448" t="s">
        <v>8</v>
      </c>
      <c r="F448" s="11">
        <f ca="1">IF(HR[[#This Row],[ Employee Status]]="exited",HR[[#This Row],[ExitDate]]-HR[[#This Row],[HireDate]],TODAY()-HR[[#This Row],[HireDate]])/365</f>
        <v>2.7589041095890412</v>
      </c>
      <c r="G448" s="4" t="str">
        <f>IF(HR[[#This Row],[ Employee Status]]="still working","",YEAR(HR[[#This Row],[ExitDate]]))</f>
        <v/>
      </c>
      <c r="H448" s="6">
        <v>8960</v>
      </c>
      <c r="I448" s="10">
        <v>3.88</v>
      </c>
      <c r="J448" s="10">
        <v>2.4900000000000002</v>
      </c>
      <c r="K448" s="4">
        <v>12</v>
      </c>
    </row>
    <row r="449" spans="1:11" x14ac:dyDescent="0.3">
      <c r="A449" s="4">
        <v>448</v>
      </c>
      <c r="B449" t="s">
        <v>13</v>
      </c>
      <c r="C449" s="1">
        <v>43672</v>
      </c>
      <c r="D449" s="1"/>
      <c r="E449" t="s">
        <v>8</v>
      </c>
      <c r="F449" s="11">
        <f ca="1">IF(HR[[#This Row],[ Employee Status]]="exited",HR[[#This Row],[ExitDate]]-HR[[#This Row],[HireDate]],TODAY()-HR[[#This Row],[HireDate]])/365</f>
        <v>6.9534246575342467</v>
      </c>
      <c r="G449" s="4" t="str">
        <f>IF(HR[[#This Row],[ Employee Status]]="still working","",YEAR(HR[[#This Row],[ExitDate]]))</f>
        <v/>
      </c>
      <c r="H449" s="6">
        <v>7396</v>
      </c>
      <c r="I449" s="10">
        <v>3.35</v>
      </c>
      <c r="J449" s="10">
        <v>4.83</v>
      </c>
      <c r="K449" s="4">
        <v>3</v>
      </c>
    </row>
    <row r="450" spans="1:11" x14ac:dyDescent="0.3">
      <c r="A450" s="4">
        <v>449</v>
      </c>
      <c r="B450" t="s">
        <v>11</v>
      </c>
      <c r="C450" s="1">
        <v>45012</v>
      </c>
      <c r="D450" s="1"/>
      <c r="E450" t="s">
        <v>8</v>
      </c>
      <c r="F450" s="11">
        <f ca="1">IF(HR[[#This Row],[ Employee Status]]="exited",HR[[#This Row],[ExitDate]]-HR[[#This Row],[HireDate]],TODAY()-HR[[#This Row],[HireDate]])/365</f>
        <v>3.2821917808219179</v>
      </c>
      <c r="G450" s="4" t="str">
        <f>IF(HR[[#This Row],[ Employee Status]]="still working","",YEAR(HR[[#This Row],[ExitDate]]))</f>
        <v/>
      </c>
      <c r="H450" s="6">
        <v>10071</v>
      </c>
      <c r="I450" s="10">
        <v>2.31</v>
      </c>
      <c r="J450" s="10">
        <v>1.03</v>
      </c>
      <c r="K450" s="4">
        <v>21</v>
      </c>
    </row>
    <row r="451" spans="1:11" x14ac:dyDescent="0.3">
      <c r="A451" s="4">
        <v>450</v>
      </c>
      <c r="B451" t="s">
        <v>9</v>
      </c>
      <c r="C451" s="1">
        <v>44777</v>
      </c>
      <c r="D451" s="1"/>
      <c r="E451" t="s">
        <v>8</v>
      </c>
      <c r="F451" s="11">
        <f ca="1">IF(HR[[#This Row],[ Employee Status]]="exited",HR[[#This Row],[ExitDate]]-HR[[#This Row],[HireDate]],TODAY()-HR[[#This Row],[HireDate]])/365</f>
        <v>3.9260273972602739</v>
      </c>
      <c r="G451" s="4" t="str">
        <f>IF(HR[[#This Row],[ Employee Status]]="still working","",YEAR(HR[[#This Row],[ExitDate]]))</f>
        <v/>
      </c>
      <c r="H451" s="6">
        <v>10674</v>
      </c>
      <c r="I451" s="10">
        <v>4.58</v>
      </c>
      <c r="J451" s="10">
        <v>4.2699999999999996</v>
      </c>
      <c r="K451" s="4">
        <v>26</v>
      </c>
    </row>
    <row r="452" spans="1:11" x14ac:dyDescent="0.3">
      <c r="A452" s="4">
        <v>451</v>
      </c>
      <c r="B452" t="s">
        <v>10</v>
      </c>
      <c r="C452" s="1">
        <v>43958</v>
      </c>
      <c r="D452" s="1"/>
      <c r="E452" t="s">
        <v>8</v>
      </c>
      <c r="F452" s="11">
        <f ca="1">IF(HR[[#This Row],[ Employee Status]]="exited",HR[[#This Row],[ExitDate]]-HR[[#This Row],[HireDate]],TODAY()-HR[[#This Row],[HireDate]])/365</f>
        <v>6.1698630136986301</v>
      </c>
      <c r="G452" s="4" t="str">
        <f>IF(HR[[#This Row],[ Employee Status]]="still working","",YEAR(HR[[#This Row],[ExitDate]]))</f>
        <v/>
      </c>
      <c r="H452" s="6">
        <v>5962</v>
      </c>
      <c r="I452" s="10">
        <v>3.91</v>
      </c>
      <c r="J452" s="10">
        <v>1.97</v>
      </c>
      <c r="K452" s="4">
        <v>19</v>
      </c>
    </row>
    <row r="453" spans="1:11" x14ac:dyDescent="0.3">
      <c r="A453" s="4">
        <v>452</v>
      </c>
      <c r="B453" t="s">
        <v>13</v>
      </c>
      <c r="C453" s="1">
        <v>44231</v>
      </c>
      <c r="D453" s="1"/>
      <c r="E453" t="s">
        <v>8</v>
      </c>
      <c r="F453" s="11">
        <f ca="1">IF(HR[[#This Row],[ Employee Status]]="exited",HR[[#This Row],[ExitDate]]-HR[[#This Row],[HireDate]],TODAY()-HR[[#This Row],[HireDate]])/365</f>
        <v>5.4219178082191783</v>
      </c>
      <c r="G453" s="4" t="str">
        <f>IF(HR[[#This Row],[ Employee Status]]="still working","",YEAR(HR[[#This Row],[ExitDate]]))</f>
        <v/>
      </c>
      <c r="H453" s="6">
        <v>13996</v>
      </c>
      <c r="I453" s="10">
        <v>2.04</v>
      </c>
      <c r="J453" s="10">
        <v>1.99</v>
      </c>
      <c r="K453" s="4">
        <v>24</v>
      </c>
    </row>
    <row r="454" spans="1:11" x14ac:dyDescent="0.3">
      <c r="A454" s="4">
        <v>453</v>
      </c>
      <c r="B454" t="s">
        <v>14</v>
      </c>
      <c r="C454" s="1">
        <v>45447</v>
      </c>
      <c r="D454" s="1"/>
      <c r="E454" t="s">
        <v>8</v>
      </c>
      <c r="F454" s="11">
        <f ca="1">IF(HR[[#This Row],[ Employee Status]]="exited",HR[[#This Row],[ExitDate]]-HR[[#This Row],[HireDate]],TODAY()-HR[[#This Row],[HireDate]])/365</f>
        <v>2.0904109589041098</v>
      </c>
      <c r="G454" s="4" t="str">
        <f>IF(HR[[#This Row],[ Employee Status]]="still working","",YEAR(HR[[#This Row],[ExitDate]]))</f>
        <v/>
      </c>
      <c r="H454" s="6">
        <v>8039</v>
      </c>
      <c r="I454" s="10">
        <v>3.27</v>
      </c>
      <c r="J454" s="10">
        <v>1.86</v>
      </c>
      <c r="K454" s="4">
        <v>0</v>
      </c>
    </row>
    <row r="455" spans="1:11" x14ac:dyDescent="0.3">
      <c r="A455" s="4">
        <v>454</v>
      </c>
      <c r="B455" t="s">
        <v>10</v>
      </c>
      <c r="C455" s="1">
        <v>43882</v>
      </c>
      <c r="D455" s="1"/>
      <c r="E455" t="s">
        <v>8</v>
      </c>
      <c r="F455" s="11">
        <f ca="1">IF(HR[[#This Row],[ Employee Status]]="exited",HR[[#This Row],[ExitDate]]-HR[[#This Row],[HireDate]],TODAY()-HR[[#This Row],[HireDate]])/365</f>
        <v>6.3780821917808215</v>
      </c>
      <c r="G455" s="4" t="str">
        <f>IF(HR[[#This Row],[ Employee Status]]="still working","",YEAR(HR[[#This Row],[ExitDate]]))</f>
        <v/>
      </c>
      <c r="H455" s="6">
        <v>4629</v>
      </c>
      <c r="I455" s="10">
        <v>4.42</v>
      </c>
      <c r="J455" s="10">
        <v>4.29</v>
      </c>
      <c r="K455" s="4">
        <v>26</v>
      </c>
    </row>
    <row r="456" spans="1:11" x14ac:dyDescent="0.3">
      <c r="A456" s="4">
        <v>455</v>
      </c>
      <c r="B456" t="s">
        <v>11</v>
      </c>
      <c r="C456" s="1">
        <v>44780</v>
      </c>
      <c r="D456" s="1"/>
      <c r="E456" t="s">
        <v>8</v>
      </c>
      <c r="F456" s="11">
        <f ca="1">IF(HR[[#This Row],[ Employee Status]]="exited",HR[[#This Row],[ExitDate]]-HR[[#This Row],[HireDate]],TODAY()-HR[[#This Row],[HireDate]])/365</f>
        <v>3.9178082191780823</v>
      </c>
      <c r="G456" s="4" t="str">
        <f>IF(HR[[#This Row],[ Employee Status]]="still working","",YEAR(HR[[#This Row],[ExitDate]]))</f>
        <v/>
      </c>
      <c r="H456" s="6">
        <v>13626</v>
      </c>
      <c r="I456" s="10">
        <v>4.21</v>
      </c>
      <c r="J456" s="10">
        <v>3.09</v>
      </c>
      <c r="K456" s="4">
        <v>18</v>
      </c>
    </row>
    <row r="457" spans="1:11" x14ac:dyDescent="0.3">
      <c r="A457" s="4">
        <v>456</v>
      </c>
      <c r="B457" t="s">
        <v>13</v>
      </c>
      <c r="C457" s="1">
        <v>44024</v>
      </c>
      <c r="D457" s="1">
        <v>45289</v>
      </c>
      <c r="E457" t="s">
        <v>12</v>
      </c>
      <c r="F457" s="11">
        <f ca="1">IF(HR[[#This Row],[ Employee Status]]="exited",HR[[#This Row],[ExitDate]]-HR[[#This Row],[HireDate]],TODAY()-HR[[#This Row],[HireDate]])/365</f>
        <v>3.4657534246575343</v>
      </c>
      <c r="G457" s="4">
        <f>IF(HR[[#This Row],[ Employee Status]]="still working","",YEAR(HR[[#This Row],[ExitDate]]))</f>
        <v>2023</v>
      </c>
      <c r="H457" s="6">
        <v>10240</v>
      </c>
      <c r="I457" s="10">
        <v>3</v>
      </c>
      <c r="J457" s="10">
        <v>4.46</v>
      </c>
      <c r="K457" s="4">
        <v>0</v>
      </c>
    </row>
    <row r="458" spans="1:11" x14ac:dyDescent="0.3">
      <c r="A458" s="4">
        <v>457</v>
      </c>
      <c r="B458" t="s">
        <v>13</v>
      </c>
      <c r="C458" s="1">
        <v>45655</v>
      </c>
      <c r="D458" s="1">
        <v>45722</v>
      </c>
      <c r="E458" t="s">
        <v>12</v>
      </c>
      <c r="F458" s="11">
        <f ca="1">IF(HR[[#This Row],[ Employee Status]]="exited",HR[[#This Row],[ExitDate]]-HR[[#This Row],[HireDate]],TODAY()-HR[[#This Row],[HireDate]])/365</f>
        <v>0.18356164383561643</v>
      </c>
      <c r="G458" s="4">
        <f>IF(HR[[#This Row],[ Employee Status]]="still working","",YEAR(HR[[#This Row],[ExitDate]]))</f>
        <v>2025</v>
      </c>
      <c r="H458" s="6">
        <v>4873</v>
      </c>
      <c r="I458" s="10">
        <v>3.89</v>
      </c>
      <c r="J458" s="10">
        <v>1.99</v>
      </c>
      <c r="K458" s="4">
        <v>27</v>
      </c>
    </row>
    <row r="459" spans="1:11" x14ac:dyDescent="0.3">
      <c r="A459" s="4">
        <v>458</v>
      </c>
      <c r="B459" t="s">
        <v>9</v>
      </c>
      <c r="C459" s="1">
        <v>45402</v>
      </c>
      <c r="D459" s="1">
        <v>45678</v>
      </c>
      <c r="E459" t="s">
        <v>12</v>
      </c>
      <c r="F459" s="11">
        <f ca="1">IF(HR[[#This Row],[ Employee Status]]="exited",HR[[#This Row],[ExitDate]]-HR[[#This Row],[HireDate]],TODAY()-HR[[#This Row],[HireDate]])/365</f>
        <v>0.75616438356164384</v>
      </c>
      <c r="G459" s="4">
        <f>IF(HR[[#This Row],[ Employee Status]]="still working","",YEAR(HR[[#This Row],[ExitDate]]))</f>
        <v>2025</v>
      </c>
      <c r="H459" s="6">
        <v>14889</v>
      </c>
      <c r="I459" s="10">
        <v>2.19</v>
      </c>
      <c r="J459" s="10">
        <v>4.3</v>
      </c>
      <c r="K459" s="4">
        <v>21</v>
      </c>
    </row>
    <row r="460" spans="1:11" x14ac:dyDescent="0.3">
      <c r="A460" s="4">
        <v>459</v>
      </c>
      <c r="B460" t="s">
        <v>10</v>
      </c>
      <c r="C460" s="1">
        <v>45337</v>
      </c>
      <c r="D460" s="1">
        <v>46686</v>
      </c>
      <c r="E460" t="s">
        <v>12</v>
      </c>
      <c r="F460" s="11">
        <f ca="1">IF(HR[[#This Row],[ Employee Status]]="exited",HR[[#This Row],[ExitDate]]-HR[[#This Row],[HireDate]],TODAY()-HR[[#This Row],[HireDate]])/365</f>
        <v>3.6958904109589041</v>
      </c>
      <c r="G460" s="4">
        <f>IF(HR[[#This Row],[ Employee Status]]="still working","",YEAR(HR[[#This Row],[ExitDate]]))</f>
        <v>2027</v>
      </c>
      <c r="H460" s="6">
        <v>10352</v>
      </c>
      <c r="I460" s="10">
        <v>3.22</v>
      </c>
      <c r="J460" s="10">
        <v>2.88</v>
      </c>
      <c r="K460" s="4">
        <v>23</v>
      </c>
    </row>
    <row r="461" spans="1:11" x14ac:dyDescent="0.3">
      <c r="A461" s="4">
        <v>460</v>
      </c>
      <c r="B461" t="s">
        <v>13</v>
      </c>
      <c r="C461" s="1">
        <v>44645</v>
      </c>
      <c r="D461" s="1">
        <v>45687</v>
      </c>
      <c r="E461" t="s">
        <v>12</v>
      </c>
      <c r="F461" s="11">
        <f ca="1">IF(HR[[#This Row],[ Employee Status]]="exited",HR[[#This Row],[ExitDate]]-HR[[#This Row],[HireDate]],TODAY()-HR[[#This Row],[HireDate]])/365</f>
        <v>2.8547945205479452</v>
      </c>
      <c r="G461" s="4">
        <f>IF(HR[[#This Row],[ Employee Status]]="still working","",YEAR(HR[[#This Row],[ExitDate]]))</f>
        <v>2025</v>
      </c>
      <c r="H461" s="6">
        <v>12014</v>
      </c>
      <c r="I461" s="10">
        <v>3.23</v>
      </c>
      <c r="J461" s="10">
        <v>4.7</v>
      </c>
      <c r="K461" s="4">
        <v>20</v>
      </c>
    </row>
    <row r="462" spans="1:11" x14ac:dyDescent="0.3">
      <c r="A462" s="4">
        <v>461</v>
      </c>
      <c r="B462" t="s">
        <v>7</v>
      </c>
      <c r="C462" s="1">
        <v>45396</v>
      </c>
      <c r="D462" s="1"/>
      <c r="E462" t="s">
        <v>8</v>
      </c>
      <c r="F462" s="11">
        <f ca="1">IF(HR[[#This Row],[ Employee Status]]="exited",HR[[#This Row],[ExitDate]]-HR[[#This Row],[HireDate]],TODAY()-HR[[#This Row],[HireDate]])/365</f>
        <v>2.2301369863013698</v>
      </c>
      <c r="G462" s="4" t="str">
        <f>IF(HR[[#This Row],[ Employee Status]]="still working","",YEAR(HR[[#This Row],[ExitDate]]))</f>
        <v/>
      </c>
      <c r="H462" s="6">
        <v>5032</v>
      </c>
      <c r="I462" s="10">
        <v>4.6500000000000004</v>
      </c>
      <c r="J462" s="10">
        <v>4.26</v>
      </c>
      <c r="K462" s="4">
        <v>19</v>
      </c>
    </row>
    <row r="463" spans="1:11" x14ac:dyDescent="0.3">
      <c r="A463" s="4">
        <v>462</v>
      </c>
      <c r="B463" t="s">
        <v>9</v>
      </c>
      <c r="C463" s="1">
        <v>44656</v>
      </c>
      <c r="D463" s="1"/>
      <c r="E463" t="s">
        <v>8</v>
      </c>
      <c r="F463" s="11">
        <f ca="1">IF(HR[[#This Row],[ Employee Status]]="exited",HR[[#This Row],[ExitDate]]-HR[[#This Row],[HireDate]],TODAY()-HR[[#This Row],[HireDate]])/365</f>
        <v>4.2575342465753421</v>
      </c>
      <c r="G463" s="4" t="str">
        <f>IF(HR[[#This Row],[ Employee Status]]="still working","",YEAR(HR[[#This Row],[ExitDate]]))</f>
        <v/>
      </c>
      <c r="H463" s="6">
        <v>3195</v>
      </c>
      <c r="I463" s="10">
        <v>3.66</v>
      </c>
      <c r="J463" s="10">
        <v>2.02</v>
      </c>
      <c r="K463" s="4">
        <v>28</v>
      </c>
    </row>
    <row r="464" spans="1:11" x14ac:dyDescent="0.3">
      <c r="A464" s="4">
        <v>463</v>
      </c>
      <c r="B464" t="s">
        <v>9</v>
      </c>
      <c r="C464" s="1">
        <v>43219</v>
      </c>
      <c r="D464" s="1"/>
      <c r="E464" t="s">
        <v>8</v>
      </c>
      <c r="F464" s="11">
        <f ca="1">IF(HR[[#This Row],[ Employee Status]]="exited",HR[[#This Row],[ExitDate]]-HR[[#This Row],[HireDate]],TODAY()-HR[[#This Row],[HireDate]])/365</f>
        <v>8.1945205479452063</v>
      </c>
      <c r="G464" s="4" t="str">
        <f>IF(HR[[#This Row],[ Employee Status]]="still working","",YEAR(HR[[#This Row],[ExitDate]]))</f>
        <v/>
      </c>
      <c r="H464" s="6">
        <v>6927</v>
      </c>
      <c r="I464" s="10">
        <v>4.74</v>
      </c>
      <c r="J464" s="10">
        <v>4.8099999999999996</v>
      </c>
      <c r="K464" s="4">
        <v>3</v>
      </c>
    </row>
    <row r="465" spans="1:11" x14ac:dyDescent="0.3">
      <c r="A465" s="4">
        <v>464</v>
      </c>
      <c r="B465" t="s">
        <v>13</v>
      </c>
      <c r="C465" s="1">
        <v>43643</v>
      </c>
      <c r="D465" s="1"/>
      <c r="E465" t="s">
        <v>8</v>
      </c>
      <c r="F465" s="11">
        <f ca="1">IF(HR[[#This Row],[ Employee Status]]="exited",HR[[#This Row],[ExitDate]]-HR[[#This Row],[HireDate]],TODAY()-HR[[#This Row],[HireDate]])/365</f>
        <v>7.0328767123287674</v>
      </c>
      <c r="G465" s="4" t="str">
        <f>IF(HR[[#This Row],[ Employee Status]]="still working","",YEAR(HR[[#This Row],[ExitDate]]))</f>
        <v/>
      </c>
      <c r="H465" s="6">
        <v>5854</v>
      </c>
      <c r="I465" s="10">
        <v>4.71</v>
      </c>
      <c r="J465" s="10">
        <v>1.31</v>
      </c>
      <c r="K465" s="4">
        <v>12</v>
      </c>
    </row>
    <row r="466" spans="1:11" x14ac:dyDescent="0.3">
      <c r="A466" s="4">
        <v>465</v>
      </c>
      <c r="B466" t="s">
        <v>11</v>
      </c>
      <c r="C466" s="1">
        <v>45007</v>
      </c>
      <c r="D466" s="1"/>
      <c r="E466" t="s">
        <v>8</v>
      </c>
      <c r="F466" s="11">
        <f ca="1">IF(HR[[#This Row],[ Employee Status]]="exited",HR[[#This Row],[ExitDate]]-HR[[#This Row],[HireDate]],TODAY()-HR[[#This Row],[HireDate]])/365</f>
        <v>3.2958904109589042</v>
      </c>
      <c r="G466" s="4" t="str">
        <f>IF(HR[[#This Row],[ Employee Status]]="still working","",YEAR(HR[[#This Row],[ExitDate]]))</f>
        <v/>
      </c>
      <c r="H466" s="6">
        <v>5472</v>
      </c>
      <c r="I466" s="10">
        <v>4.51</v>
      </c>
      <c r="J466" s="10">
        <v>4.4400000000000004</v>
      </c>
      <c r="K466" s="4">
        <v>2</v>
      </c>
    </row>
    <row r="467" spans="1:11" x14ac:dyDescent="0.3">
      <c r="A467" s="4">
        <v>466</v>
      </c>
      <c r="B467" t="s">
        <v>11</v>
      </c>
      <c r="C467" s="1">
        <v>45150</v>
      </c>
      <c r="D467" s="1"/>
      <c r="E467" t="s">
        <v>8</v>
      </c>
      <c r="F467" s="11">
        <f ca="1">IF(HR[[#This Row],[ Employee Status]]="exited",HR[[#This Row],[ExitDate]]-HR[[#This Row],[HireDate]],TODAY()-HR[[#This Row],[HireDate]])/365</f>
        <v>2.904109589041096</v>
      </c>
      <c r="G467" s="4" t="str">
        <f>IF(HR[[#This Row],[ Employee Status]]="still working","",YEAR(HR[[#This Row],[ExitDate]]))</f>
        <v/>
      </c>
      <c r="H467" s="6">
        <v>13696</v>
      </c>
      <c r="I467" s="10">
        <v>2.54</v>
      </c>
      <c r="J467" s="10">
        <v>3.78</v>
      </c>
      <c r="K467" s="4">
        <v>14</v>
      </c>
    </row>
    <row r="468" spans="1:11" x14ac:dyDescent="0.3">
      <c r="A468" s="4">
        <v>467</v>
      </c>
      <c r="B468" t="s">
        <v>7</v>
      </c>
      <c r="C468" s="1">
        <v>44693</v>
      </c>
      <c r="D468" s="1"/>
      <c r="E468" t="s">
        <v>8</v>
      </c>
      <c r="F468" s="11">
        <f ca="1">IF(HR[[#This Row],[ Employee Status]]="exited",HR[[#This Row],[ExitDate]]-HR[[#This Row],[HireDate]],TODAY()-HR[[#This Row],[HireDate]])/365</f>
        <v>4.1561643835616442</v>
      </c>
      <c r="G468" s="4" t="str">
        <f>IF(HR[[#This Row],[ Employee Status]]="still working","",YEAR(HR[[#This Row],[ExitDate]]))</f>
        <v/>
      </c>
      <c r="H468" s="6">
        <v>8520</v>
      </c>
      <c r="I468" s="10">
        <v>3.6</v>
      </c>
      <c r="J468" s="10">
        <v>4.16</v>
      </c>
      <c r="K468" s="4">
        <v>29</v>
      </c>
    </row>
    <row r="469" spans="1:11" x14ac:dyDescent="0.3">
      <c r="A469" s="4">
        <v>468</v>
      </c>
      <c r="B469" t="s">
        <v>13</v>
      </c>
      <c r="C469" s="1">
        <v>45308</v>
      </c>
      <c r="D469" s="1"/>
      <c r="E469" t="s">
        <v>8</v>
      </c>
      <c r="F469" s="11">
        <f ca="1">IF(HR[[#This Row],[ Employee Status]]="exited",HR[[#This Row],[ExitDate]]-HR[[#This Row],[HireDate]],TODAY()-HR[[#This Row],[HireDate]])/365</f>
        <v>2.4712328767123286</v>
      </c>
      <c r="G469" s="4" t="str">
        <f>IF(HR[[#This Row],[ Employee Status]]="still working","",YEAR(HR[[#This Row],[ExitDate]]))</f>
        <v/>
      </c>
      <c r="H469" s="6">
        <v>11912</v>
      </c>
      <c r="I469" s="10">
        <v>4.6399999999999997</v>
      </c>
      <c r="J469" s="10">
        <v>1.49</v>
      </c>
      <c r="K469" s="4">
        <v>14</v>
      </c>
    </row>
    <row r="470" spans="1:11" x14ac:dyDescent="0.3">
      <c r="A470" s="4">
        <v>469</v>
      </c>
      <c r="B470" t="s">
        <v>9</v>
      </c>
      <c r="C470" s="1">
        <v>45037</v>
      </c>
      <c r="D470" s="1"/>
      <c r="E470" t="s">
        <v>8</v>
      </c>
      <c r="F470" s="11">
        <f ca="1">IF(HR[[#This Row],[ Employee Status]]="exited",HR[[#This Row],[ExitDate]]-HR[[#This Row],[HireDate]],TODAY()-HR[[#This Row],[HireDate]])/365</f>
        <v>3.2136986301369861</v>
      </c>
      <c r="G470" s="4" t="str">
        <f>IF(HR[[#This Row],[ Employee Status]]="still working","",YEAR(HR[[#This Row],[ExitDate]]))</f>
        <v/>
      </c>
      <c r="H470" s="6">
        <v>12928</v>
      </c>
      <c r="I470" s="10">
        <v>2.5</v>
      </c>
      <c r="J470" s="10">
        <v>1.97</v>
      </c>
      <c r="K470" s="4">
        <v>18</v>
      </c>
    </row>
    <row r="471" spans="1:11" x14ac:dyDescent="0.3">
      <c r="A471" s="4">
        <v>470</v>
      </c>
      <c r="B471" t="s">
        <v>11</v>
      </c>
      <c r="C471" s="1">
        <v>43336</v>
      </c>
      <c r="D471" s="1"/>
      <c r="E471" t="s">
        <v>8</v>
      </c>
      <c r="F471" s="11">
        <f ca="1">IF(HR[[#This Row],[ Employee Status]]="exited",HR[[#This Row],[ExitDate]]-HR[[#This Row],[HireDate]],TODAY()-HR[[#This Row],[HireDate]])/365</f>
        <v>7.8739726027397259</v>
      </c>
      <c r="G471" s="4" t="str">
        <f>IF(HR[[#This Row],[ Employee Status]]="still working","",YEAR(HR[[#This Row],[ExitDate]]))</f>
        <v/>
      </c>
      <c r="H471" s="6">
        <v>7507</v>
      </c>
      <c r="I471" s="10">
        <v>3.24</v>
      </c>
      <c r="J471" s="10">
        <v>4.0199999999999996</v>
      </c>
      <c r="K471" s="4">
        <v>0</v>
      </c>
    </row>
    <row r="472" spans="1:11" x14ac:dyDescent="0.3">
      <c r="A472" s="4">
        <v>471</v>
      </c>
      <c r="B472" t="s">
        <v>10</v>
      </c>
      <c r="C472" s="1">
        <v>44235</v>
      </c>
      <c r="D472" s="1"/>
      <c r="E472" t="s">
        <v>8</v>
      </c>
      <c r="F472" s="11">
        <f ca="1">IF(HR[[#This Row],[ Employee Status]]="exited",HR[[#This Row],[ExitDate]]-HR[[#This Row],[HireDate]],TODAY()-HR[[#This Row],[HireDate]])/365</f>
        <v>5.4109589041095889</v>
      </c>
      <c r="G472" s="4" t="str">
        <f>IF(HR[[#This Row],[ Employee Status]]="still working","",YEAR(HR[[#This Row],[ExitDate]]))</f>
        <v/>
      </c>
      <c r="H472" s="6">
        <v>9318</v>
      </c>
      <c r="I472" s="10">
        <v>2.98</v>
      </c>
      <c r="J472" s="10">
        <v>3.19</v>
      </c>
      <c r="K472" s="4">
        <v>0</v>
      </c>
    </row>
    <row r="473" spans="1:11" x14ac:dyDescent="0.3">
      <c r="A473" s="4">
        <v>472</v>
      </c>
      <c r="B473" t="s">
        <v>7</v>
      </c>
      <c r="C473" s="1">
        <v>43936</v>
      </c>
      <c r="D473" s="1"/>
      <c r="E473" t="s">
        <v>8</v>
      </c>
      <c r="F473" s="11">
        <f ca="1">IF(HR[[#This Row],[ Employee Status]]="exited",HR[[#This Row],[ExitDate]]-HR[[#This Row],[HireDate]],TODAY()-HR[[#This Row],[HireDate]])/365</f>
        <v>6.2301369863013702</v>
      </c>
      <c r="G473" s="4" t="str">
        <f>IF(HR[[#This Row],[ Employee Status]]="still working","",YEAR(HR[[#This Row],[ExitDate]]))</f>
        <v/>
      </c>
      <c r="H473" s="6">
        <v>13799</v>
      </c>
      <c r="I473" s="10">
        <v>3.01</v>
      </c>
      <c r="J473" s="10">
        <v>1.57</v>
      </c>
      <c r="K473" s="4">
        <v>25</v>
      </c>
    </row>
    <row r="474" spans="1:11" x14ac:dyDescent="0.3">
      <c r="A474" s="4">
        <v>473</v>
      </c>
      <c r="B474" t="s">
        <v>7</v>
      </c>
      <c r="C474" s="1">
        <v>43108</v>
      </c>
      <c r="D474" s="1"/>
      <c r="E474" t="s">
        <v>8</v>
      </c>
      <c r="F474" s="11">
        <f ca="1">IF(HR[[#This Row],[ Employee Status]]="exited",HR[[#This Row],[ExitDate]]-HR[[#This Row],[HireDate]],TODAY()-HR[[#This Row],[HireDate]])/365</f>
        <v>8.4986301369863018</v>
      </c>
      <c r="G474" s="4" t="str">
        <f>IF(HR[[#This Row],[ Employee Status]]="still working","",YEAR(HR[[#This Row],[ExitDate]]))</f>
        <v/>
      </c>
      <c r="H474" s="6">
        <v>12540</v>
      </c>
      <c r="I474" s="10">
        <v>4.32</v>
      </c>
      <c r="J474" s="10">
        <v>4.8099999999999996</v>
      </c>
      <c r="K474" s="4">
        <v>0</v>
      </c>
    </row>
    <row r="475" spans="1:11" x14ac:dyDescent="0.3">
      <c r="A475" s="4">
        <v>474</v>
      </c>
      <c r="B475" t="s">
        <v>13</v>
      </c>
      <c r="C475" s="1">
        <v>43875</v>
      </c>
      <c r="D475" s="1"/>
      <c r="E475" t="s">
        <v>8</v>
      </c>
      <c r="F475" s="11">
        <f ca="1">IF(HR[[#This Row],[ Employee Status]]="exited",HR[[#This Row],[ExitDate]]-HR[[#This Row],[HireDate]],TODAY()-HR[[#This Row],[HireDate]])/365</f>
        <v>6.397260273972603</v>
      </c>
      <c r="G475" s="4" t="str">
        <f>IF(HR[[#This Row],[ Employee Status]]="still working","",YEAR(HR[[#This Row],[ExitDate]]))</f>
        <v/>
      </c>
      <c r="H475" s="6">
        <v>9314</v>
      </c>
      <c r="I475" s="10">
        <v>3.68</v>
      </c>
      <c r="J475" s="10">
        <v>3.51</v>
      </c>
      <c r="K475" s="4">
        <v>25</v>
      </c>
    </row>
    <row r="476" spans="1:11" x14ac:dyDescent="0.3">
      <c r="A476" s="4">
        <v>475</v>
      </c>
      <c r="B476" t="s">
        <v>13</v>
      </c>
      <c r="C476" s="1">
        <v>44343</v>
      </c>
      <c r="D476" s="1"/>
      <c r="E476" t="s">
        <v>8</v>
      </c>
      <c r="F476" s="11">
        <f ca="1">IF(HR[[#This Row],[ Employee Status]]="exited",HR[[#This Row],[ExitDate]]-HR[[#This Row],[HireDate]],TODAY()-HR[[#This Row],[HireDate]])/365</f>
        <v>5.1150684931506847</v>
      </c>
      <c r="G476" s="4" t="str">
        <f>IF(HR[[#This Row],[ Employee Status]]="still working","",YEAR(HR[[#This Row],[ExitDate]]))</f>
        <v/>
      </c>
      <c r="H476" s="6">
        <v>6893</v>
      </c>
      <c r="I476" s="10">
        <v>4.51</v>
      </c>
      <c r="J476" s="10">
        <v>4.29</v>
      </c>
      <c r="K476" s="4">
        <v>15</v>
      </c>
    </row>
    <row r="477" spans="1:11" x14ac:dyDescent="0.3">
      <c r="A477" s="4">
        <v>476</v>
      </c>
      <c r="B477" t="s">
        <v>9</v>
      </c>
      <c r="C477" s="1">
        <v>43503</v>
      </c>
      <c r="D477" s="1"/>
      <c r="E477" t="s">
        <v>8</v>
      </c>
      <c r="F477" s="11">
        <f ca="1">IF(HR[[#This Row],[ Employee Status]]="exited",HR[[#This Row],[ExitDate]]-HR[[#This Row],[HireDate]],TODAY()-HR[[#This Row],[HireDate]])/365</f>
        <v>7.4164383561643836</v>
      </c>
      <c r="G477" s="4" t="str">
        <f>IF(HR[[#This Row],[ Employee Status]]="still working","",YEAR(HR[[#This Row],[ExitDate]]))</f>
        <v/>
      </c>
      <c r="H477" s="6">
        <v>14186</v>
      </c>
      <c r="I477" s="10">
        <v>3.53</v>
      </c>
      <c r="J477" s="10">
        <v>4.28</v>
      </c>
      <c r="K477" s="4">
        <v>8</v>
      </c>
    </row>
    <row r="478" spans="1:11" x14ac:dyDescent="0.3">
      <c r="A478" s="4">
        <v>477</v>
      </c>
      <c r="B478" t="s">
        <v>14</v>
      </c>
      <c r="C478" s="1">
        <v>43877</v>
      </c>
      <c r="D478" s="1">
        <v>44798</v>
      </c>
      <c r="E478" t="s">
        <v>12</v>
      </c>
      <c r="F478" s="11">
        <f ca="1">IF(HR[[#This Row],[ Employee Status]]="exited",HR[[#This Row],[ExitDate]]-HR[[#This Row],[HireDate]],TODAY()-HR[[#This Row],[HireDate]])/365</f>
        <v>2.5232876712328767</v>
      </c>
      <c r="G478" s="4">
        <f>IF(HR[[#This Row],[ Employee Status]]="still working","",YEAR(HR[[#This Row],[ExitDate]]))</f>
        <v>2022</v>
      </c>
      <c r="H478" s="6">
        <v>7234</v>
      </c>
      <c r="I478" s="10">
        <v>4.41</v>
      </c>
      <c r="J478" s="10">
        <v>4.6100000000000003</v>
      </c>
      <c r="K478" s="4">
        <v>15</v>
      </c>
    </row>
    <row r="479" spans="1:11" x14ac:dyDescent="0.3">
      <c r="A479" s="4">
        <v>478</v>
      </c>
      <c r="B479" t="s">
        <v>11</v>
      </c>
      <c r="C479" s="1">
        <v>43753</v>
      </c>
      <c r="D479" s="1"/>
      <c r="E479" t="s">
        <v>8</v>
      </c>
      <c r="F479" s="11">
        <f ca="1">IF(HR[[#This Row],[ Employee Status]]="exited",HR[[#This Row],[ExitDate]]-HR[[#This Row],[HireDate]],TODAY()-HR[[#This Row],[HireDate]])/365</f>
        <v>6.7315068493150685</v>
      </c>
      <c r="G479" s="4" t="str">
        <f>IF(HR[[#This Row],[ Employee Status]]="still working","",YEAR(HR[[#This Row],[ExitDate]]))</f>
        <v/>
      </c>
      <c r="H479" s="6">
        <v>5565</v>
      </c>
      <c r="I479" s="10">
        <v>4.9000000000000004</v>
      </c>
      <c r="J479" s="10">
        <v>1.27</v>
      </c>
      <c r="K479" s="4">
        <v>24</v>
      </c>
    </row>
    <row r="480" spans="1:11" x14ac:dyDescent="0.3">
      <c r="A480" s="4">
        <v>479</v>
      </c>
      <c r="B480" t="s">
        <v>10</v>
      </c>
      <c r="C480" s="1">
        <v>45066</v>
      </c>
      <c r="D480" s="1">
        <v>45208</v>
      </c>
      <c r="E480" t="s">
        <v>12</v>
      </c>
      <c r="F480" s="11">
        <f ca="1">IF(HR[[#This Row],[ Employee Status]]="exited",HR[[#This Row],[ExitDate]]-HR[[#This Row],[HireDate]],TODAY()-HR[[#This Row],[HireDate]])/365</f>
        <v>0.38904109589041097</v>
      </c>
      <c r="G480" s="4">
        <f>IF(HR[[#This Row],[ Employee Status]]="still working","",YEAR(HR[[#This Row],[ExitDate]]))</f>
        <v>2023</v>
      </c>
      <c r="H480" s="6">
        <v>9476</v>
      </c>
      <c r="I480" s="10">
        <v>4.99</v>
      </c>
      <c r="J480" s="10">
        <v>3.24</v>
      </c>
      <c r="K480" s="4">
        <v>28</v>
      </c>
    </row>
    <row r="481" spans="1:11" x14ac:dyDescent="0.3">
      <c r="A481" s="4">
        <v>480</v>
      </c>
      <c r="B481" t="s">
        <v>14</v>
      </c>
      <c r="C481" s="1">
        <v>43176</v>
      </c>
      <c r="D481" s="1"/>
      <c r="E481" t="s">
        <v>8</v>
      </c>
      <c r="F481" s="11">
        <f ca="1">IF(HR[[#This Row],[ Employee Status]]="exited",HR[[#This Row],[ExitDate]]-HR[[#This Row],[HireDate]],TODAY()-HR[[#This Row],[HireDate]])/365</f>
        <v>8.3123287671232884</v>
      </c>
      <c r="G481" s="4" t="str">
        <f>IF(HR[[#This Row],[ Employee Status]]="still working","",YEAR(HR[[#This Row],[ExitDate]]))</f>
        <v/>
      </c>
      <c r="H481" s="6">
        <v>11397</v>
      </c>
      <c r="I481" s="10">
        <v>3.11</v>
      </c>
      <c r="J481" s="10">
        <v>2.86</v>
      </c>
      <c r="K481" s="4">
        <v>19</v>
      </c>
    </row>
    <row r="482" spans="1:11" x14ac:dyDescent="0.3">
      <c r="A482" s="4">
        <v>481</v>
      </c>
      <c r="B482" t="s">
        <v>14</v>
      </c>
      <c r="C482" s="1">
        <v>43803</v>
      </c>
      <c r="D482" s="1"/>
      <c r="E482" t="s">
        <v>8</v>
      </c>
      <c r="F482" s="11">
        <f ca="1">IF(HR[[#This Row],[ Employee Status]]="exited",HR[[#This Row],[ExitDate]]-HR[[#This Row],[HireDate]],TODAY()-HR[[#This Row],[HireDate]])/365</f>
        <v>6.5945205479452058</v>
      </c>
      <c r="G482" s="4" t="str">
        <f>IF(HR[[#This Row],[ Employee Status]]="still working","",YEAR(HR[[#This Row],[ExitDate]]))</f>
        <v/>
      </c>
      <c r="H482" s="6">
        <v>8960</v>
      </c>
      <c r="I482" s="10">
        <v>3.99</v>
      </c>
      <c r="J482" s="10">
        <v>2.94</v>
      </c>
      <c r="K482" s="4">
        <v>27</v>
      </c>
    </row>
    <row r="483" spans="1:11" x14ac:dyDescent="0.3">
      <c r="A483" s="4">
        <v>482</v>
      </c>
      <c r="B483" t="s">
        <v>10</v>
      </c>
      <c r="C483" s="1">
        <v>45203</v>
      </c>
      <c r="D483" s="1"/>
      <c r="E483" t="s">
        <v>8</v>
      </c>
      <c r="F483" s="11">
        <f ca="1">IF(HR[[#This Row],[ Employee Status]]="exited",HR[[#This Row],[ExitDate]]-HR[[#This Row],[HireDate]],TODAY()-HR[[#This Row],[HireDate]])/365</f>
        <v>2.7589041095890412</v>
      </c>
      <c r="G483" s="4" t="str">
        <f>IF(HR[[#This Row],[ Employee Status]]="still working","",YEAR(HR[[#This Row],[ExitDate]]))</f>
        <v/>
      </c>
      <c r="H483" s="6">
        <v>9460</v>
      </c>
      <c r="I483" s="10">
        <v>3.74</v>
      </c>
      <c r="J483" s="10">
        <v>2.7</v>
      </c>
      <c r="K483" s="4">
        <v>25</v>
      </c>
    </row>
    <row r="484" spans="1:11" x14ac:dyDescent="0.3">
      <c r="A484" s="4">
        <v>483</v>
      </c>
      <c r="B484" t="s">
        <v>7</v>
      </c>
      <c r="C484" s="1">
        <v>44446</v>
      </c>
      <c r="D484" s="1">
        <v>44566</v>
      </c>
      <c r="E484" t="s">
        <v>12</v>
      </c>
      <c r="F484" s="11">
        <f ca="1">IF(HR[[#This Row],[ Employee Status]]="exited",HR[[#This Row],[ExitDate]]-HR[[#This Row],[HireDate]],TODAY()-HR[[#This Row],[HireDate]])/365</f>
        <v>0.32876712328767121</v>
      </c>
      <c r="G484" s="4">
        <f>IF(HR[[#This Row],[ Employee Status]]="still working","",YEAR(HR[[#This Row],[ExitDate]]))</f>
        <v>2022</v>
      </c>
      <c r="H484" s="6">
        <v>13045</v>
      </c>
      <c r="I484" s="10">
        <v>2.42</v>
      </c>
      <c r="J484" s="10">
        <v>3.68</v>
      </c>
      <c r="K484" s="4">
        <v>11</v>
      </c>
    </row>
    <row r="485" spans="1:11" x14ac:dyDescent="0.3">
      <c r="A485" s="4">
        <v>484</v>
      </c>
      <c r="B485" t="s">
        <v>9</v>
      </c>
      <c r="C485" s="1">
        <v>45133</v>
      </c>
      <c r="D485" s="1"/>
      <c r="E485" t="s">
        <v>8</v>
      </c>
      <c r="F485" s="11">
        <f ca="1">IF(HR[[#This Row],[ Employee Status]]="exited",HR[[#This Row],[ExitDate]]-HR[[#This Row],[HireDate]],TODAY()-HR[[#This Row],[HireDate]])/365</f>
        <v>2.9506849315068493</v>
      </c>
      <c r="G485" s="4" t="str">
        <f>IF(HR[[#This Row],[ Employee Status]]="still working","",YEAR(HR[[#This Row],[ExitDate]]))</f>
        <v/>
      </c>
      <c r="H485" s="6">
        <v>12480</v>
      </c>
      <c r="I485" s="10">
        <v>2.48</v>
      </c>
      <c r="J485" s="10">
        <v>2.0299999999999998</v>
      </c>
      <c r="K485" s="4">
        <v>2</v>
      </c>
    </row>
    <row r="486" spans="1:11" x14ac:dyDescent="0.3">
      <c r="A486" s="4">
        <v>485</v>
      </c>
      <c r="B486" t="s">
        <v>10</v>
      </c>
      <c r="C486" s="1">
        <v>43928</v>
      </c>
      <c r="D486" s="1"/>
      <c r="E486" t="s">
        <v>8</v>
      </c>
      <c r="F486" s="11">
        <f ca="1">IF(HR[[#This Row],[ Employee Status]]="exited",HR[[#This Row],[ExitDate]]-HR[[#This Row],[HireDate]],TODAY()-HR[[#This Row],[HireDate]])/365</f>
        <v>6.2520547945205482</v>
      </c>
      <c r="G486" s="4" t="str">
        <f>IF(HR[[#This Row],[ Employee Status]]="still working","",YEAR(HR[[#This Row],[ExitDate]]))</f>
        <v/>
      </c>
      <c r="H486" s="6">
        <v>11995</v>
      </c>
      <c r="I486" s="10">
        <v>4.2699999999999996</v>
      </c>
      <c r="J486" s="10">
        <v>2.23</v>
      </c>
      <c r="K486" s="4">
        <v>28</v>
      </c>
    </row>
    <row r="487" spans="1:11" x14ac:dyDescent="0.3">
      <c r="A487" s="4">
        <v>486</v>
      </c>
      <c r="B487" t="s">
        <v>11</v>
      </c>
      <c r="C487" s="1">
        <v>45034</v>
      </c>
      <c r="D487" s="1"/>
      <c r="E487" t="s">
        <v>8</v>
      </c>
      <c r="F487" s="11">
        <f ca="1">IF(HR[[#This Row],[ Employee Status]]="exited",HR[[#This Row],[ExitDate]]-HR[[#This Row],[HireDate]],TODAY()-HR[[#This Row],[HireDate]])/365</f>
        <v>3.2219178082191782</v>
      </c>
      <c r="G487" s="4" t="str">
        <f>IF(HR[[#This Row],[ Employee Status]]="still working","",YEAR(HR[[#This Row],[ExitDate]]))</f>
        <v/>
      </c>
      <c r="H487" s="6">
        <v>5575</v>
      </c>
      <c r="I487" s="10">
        <v>2.72</v>
      </c>
      <c r="J487" s="10">
        <v>1.86</v>
      </c>
      <c r="K487" s="4">
        <v>29</v>
      </c>
    </row>
    <row r="488" spans="1:11" x14ac:dyDescent="0.3">
      <c r="A488" s="4">
        <v>487</v>
      </c>
      <c r="B488" t="s">
        <v>10</v>
      </c>
      <c r="C488" s="1">
        <v>44785</v>
      </c>
      <c r="D488" s="1">
        <v>45431</v>
      </c>
      <c r="E488" t="s">
        <v>12</v>
      </c>
      <c r="F488" s="11">
        <f ca="1">IF(HR[[#This Row],[ Employee Status]]="exited",HR[[#This Row],[ExitDate]]-HR[[#This Row],[HireDate]],TODAY()-HR[[#This Row],[HireDate]])/365</f>
        <v>1.7698630136986302</v>
      </c>
      <c r="G488" s="4">
        <f>IF(HR[[#This Row],[ Employee Status]]="still working","",YEAR(HR[[#This Row],[ExitDate]]))</f>
        <v>2024</v>
      </c>
      <c r="H488" s="6">
        <v>13539</v>
      </c>
      <c r="I488" s="10">
        <v>3.75</v>
      </c>
      <c r="J488" s="10">
        <v>1.53</v>
      </c>
      <c r="K488" s="4">
        <v>18</v>
      </c>
    </row>
    <row r="489" spans="1:11" x14ac:dyDescent="0.3">
      <c r="A489" s="4">
        <v>488</v>
      </c>
      <c r="B489" t="s">
        <v>10</v>
      </c>
      <c r="C489" s="1">
        <v>45507</v>
      </c>
      <c r="D489" s="1">
        <v>45570</v>
      </c>
      <c r="E489" t="s">
        <v>12</v>
      </c>
      <c r="F489" s="11">
        <f ca="1">IF(HR[[#This Row],[ Employee Status]]="exited",HR[[#This Row],[ExitDate]]-HR[[#This Row],[HireDate]],TODAY()-HR[[#This Row],[HireDate]])/365</f>
        <v>0.17260273972602741</v>
      </c>
      <c r="G489" s="4">
        <f>IF(HR[[#This Row],[ Employee Status]]="still working","",YEAR(HR[[#This Row],[ExitDate]]))</f>
        <v>2024</v>
      </c>
      <c r="H489" s="6">
        <v>10485</v>
      </c>
      <c r="I489" s="10">
        <v>4.08</v>
      </c>
      <c r="J489" s="10">
        <v>2.06</v>
      </c>
      <c r="K489" s="4">
        <v>5</v>
      </c>
    </row>
    <row r="490" spans="1:11" x14ac:dyDescent="0.3">
      <c r="A490" s="4">
        <v>489</v>
      </c>
      <c r="B490" t="s">
        <v>7</v>
      </c>
      <c r="C490" s="1">
        <v>43932</v>
      </c>
      <c r="D490" s="1"/>
      <c r="E490" t="s">
        <v>8</v>
      </c>
      <c r="F490" s="11">
        <f ca="1">IF(HR[[#This Row],[ Employee Status]]="exited",HR[[#This Row],[ExitDate]]-HR[[#This Row],[HireDate]],TODAY()-HR[[#This Row],[HireDate]])/365</f>
        <v>6.2410958904109588</v>
      </c>
      <c r="G490" s="4" t="str">
        <f>IF(HR[[#This Row],[ Employee Status]]="still working","",YEAR(HR[[#This Row],[ExitDate]]))</f>
        <v/>
      </c>
      <c r="H490" s="6">
        <v>9111</v>
      </c>
      <c r="I490" s="10">
        <v>2.66</v>
      </c>
      <c r="J490" s="10">
        <v>3.38</v>
      </c>
      <c r="K490" s="4">
        <v>21</v>
      </c>
    </row>
    <row r="491" spans="1:11" x14ac:dyDescent="0.3">
      <c r="A491" s="4">
        <v>490</v>
      </c>
      <c r="B491" t="s">
        <v>7</v>
      </c>
      <c r="C491" s="1">
        <v>43842</v>
      </c>
      <c r="D491" s="1"/>
      <c r="E491" t="s">
        <v>8</v>
      </c>
      <c r="F491" s="11">
        <f ca="1">IF(HR[[#This Row],[ Employee Status]]="exited",HR[[#This Row],[ExitDate]]-HR[[#This Row],[HireDate]],TODAY()-HR[[#This Row],[HireDate]])/365</f>
        <v>6.4876712328767123</v>
      </c>
      <c r="G491" s="4" t="str">
        <f>IF(HR[[#This Row],[ Employee Status]]="still working","",YEAR(HR[[#This Row],[ExitDate]]))</f>
        <v/>
      </c>
      <c r="H491" s="6">
        <v>12166</v>
      </c>
      <c r="I491" s="10">
        <v>4.95</v>
      </c>
      <c r="J491" s="10">
        <v>4.1500000000000004</v>
      </c>
      <c r="K491" s="4">
        <v>25</v>
      </c>
    </row>
    <row r="492" spans="1:11" x14ac:dyDescent="0.3">
      <c r="A492" s="4">
        <v>491</v>
      </c>
      <c r="B492" t="s">
        <v>9</v>
      </c>
      <c r="C492" s="1">
        <v>44570</v>
      </c>
      <c r="D492" s="1"/>
      <c r="E492" t="s">
        <v>8</v>
      </c>
      <c r="F492" s="11">
        <f ca="1">IF(HR[[#This Row],[ Employee Status]]="exited",HR[[#This Row],[ExitDate]]-HR[[#This Row],[HireDate]],TODAY()-HR[[#This Row],[HireDate]])/365</f>
        <v>4.493150684931507</v>
      </c>
      <c r="G492" s="4" t="str">
        <f>IF(HR[[#This Row],[ Employee Status]]="still working","",YEAR(HR[[#This Row],[ExitDate]]))</f>
        <v/>
      </c>
      <c r="H492" s="6">
        <v>3160</v>
      </c>
      <c r="I492" s="10">
        <v>2.78</v>
      </c>
      <c r="J492" s="10">
        <v>1.1299999999999999</v>
      </c>
      <c r="K492" s="4">
        <v>20</v>
      </c>
    </row>
    <row r="493" spans="1:11" x14ac:dyDescent="0.3">
      <c r="A493" s="4">
        <v>492</v>
      </c>
      <c r="B493" t="s">
        <v>7</v>
      </c>
      <c r="C493" s="1">
        <v>44633</v>
      </c>
      <c r="D493" s="1">
        <v>45432</v>
      </c>
      <c r="E493" t="s">
        <v>12</v>
      </c>
      <c r="F493" s="11">
        <f ca="1">IF(HR[[#This Row],[ Employee Status]]="exited",HR[[#This Row],[ExitDate]]-HR[[#This Row],[HireDate]],TODAY()-HR[[#This Row],[HireDate]])/365</f>
        <v>2.1890410958904107</v>
      </c>
      <c r="G493" s="4">
        <f>IF(HR[[#This Row],[ Employee Status]]="still working","",YEAR(HR[[#This Row],[ExitDate]]))</f>
        <v>2024</v>
      </c>
      <c r="H493" s="6">
        <v>8960</v>
      </c>
      <c r="I493" s="10">
        <v>2.97</v>
      </c>
      <c r="J493" s="10">
        <v>4.59</v>
      </c>
      <c r="K493" s="4">
        <v>26</v>
      </c>
    </row>
    <row r="494" spans="1:11" x14ac:dyDescent="0.3">
      <c r="A494" s="4">
        <v>493</v>
      </c>
      <c r="B494" t="s">
        <v>7</v>
      </c>
      <c r="C494" s="1">
        <v>44503</v>
      </c>
      <c r="D494" s="1"/>
      <c r="E494" t="s">
        <v>8</v>
      </c>
      <c r="F494" s="11">
        <f ca="1">IF(HR[[#This Row],[ Employee Status]]="exited",HR[[#This Row],[ExitDate]]-HR[[#This Row],[HireDate]],TODAY()-HR[[#This Row],[HireDate]])/365</f>
        <v>4.6767123287671231</v>
      </c>
      <c r="G494" s="4" t="str">
        <f>IF(HR[[#This Row],[ Employee Status]]="still working","",YEAR(HR[[#This Row],[ExitDate]]))</f>
        <v/>
      </c>
      <c r="H494" s="6">
        <v>7172</v>
      </c>
      <c r="I494" s="10">
        <v>2.75</v>
      </c>
      <c r="J494" s="10">
        <v>3.31</v>
      </c>
      <c r="K494" s="4">
        <v>5</v>
      </c>
    </row>
    <row r="495" spans="1:11" x14ac:dyDescent="0.3">
      <c r="A495" s="4">
        <v>494</v>
      </c>
      <c r="B495" t="s">
        <v>9</v>
      </c>
      <c r="C495" s="1">
        <v>43886</v>
      </c>
      <c r="D495" s="1"/>
      <c r="E495" t="s">
        <v>8</v>
      </c>
      <c r="F495" s="11">
        <f ca="1">IF(HR[[#This Row],[ Employee Status]]="exited",HR[[#This Row],[ExitDate]]-HR[[#This Row],[HireDate]],TODAY()-HR[[#This Row],[HireDate]])/365</f>
        <v>6.3671232876712329</v>
      </c>
      <c r="G495" s="4" t="str">
        <f>IF(HR[[#This Row],[ Employee Status]]="still working","",YEAR(HR[[#This Row],[ExitDate]]))</f>
        <v/>
      </c>
      <c r="H495" s="6">
        <v>12867</v>
      </c>
      <c r="I495" s="10">
        <v>4.42</v>
      </c>
      <c r="J495" s="10">
        <v>4.43</v>
      </c>
      <c r="K495" s="4">
        <v>12</v>
      </c>
    </row>
    <row r="496" spans="1:11" x14ac:dyDescent="0.3">
      <c r="A496" s="4">
        <v>495</v>
      </c>
      <c r="B496" t="s">
        <v>7</v>
      </c>
      <c r="C496" s="1">
        <v>44126</v>
      </c>
      <c r="D496" s="1"/>
      <c r="E496" t="s">
        <v>8</v>
      </c>
      <c r="F496" s="11">
        <f ca="1">IF(HR[[#This Row],[ Employee Status]]="exited",HR[[#This Row],[ExitDate]]-HR[[#This Row],[HireDate]],TODAY()-HR[[#This Row],[HireDate]])/365</f>
        <v>5.7095890410958905</v>
      </c>
      <c r="G496" s="4" t="str">
        <f>IF(HR[[#This Row],[ Employee Status]]="still working","",YEAR(HR[[#This Row],[ExitDate]]))</f>
        <v/>
      </c>
      <c r="H496" s="6">
        <v>5828</v>
      </c>
      <c r="I496" s="10">
        <v>3.08</v>
      </c>
      <c r="J496" s="10">
        <v>4.13</v>
      </c>
      <c r="K496" s="4">
        <v>10</v>
      </c>
    </row>
    <row r="497" spans="1:11" x14ac:dyDescent="0.3">
      <c r="A497" s="4">
        <v>496</v>
      </c>
      <c r="B497" t="s">
        <v>9</v>
      </c>
      <c r="C497" s="1">
        <v>43972</v>
      </c>
      <c r="D497" s="1"/>
      <c r="E497" t="s">
        <v>8</v>
      </c>
      <c r="F497" s="11">
        <f ca="1">IF(HR[[#This Row],[ Employee Status]]="exited",HR[[#This Row],[ExitDate]]-HR[[#This Row],[HireDate]],TODAY()-HR[[#This Row],[HireDate]])/365</f>
        <v>6.1315068493150688</v>
      </c>
      <c r="G497" s="4" t="str">
        <f>IF(HR[[#This Row],[ Employee Status]]="still working","",YEAR(HR[[#This Row],[ExitDate]]))</f>
        <v/>
      </c>
      <c r="H497" s="6">
        <v>9644</v>
      </c>
      <c r="I497" s="10">
        <v>4.29</v>
      </c>
      <c r="J497" s="10">
        <v>3.49</v>
      </c>
      <c r="K497" s="4">
        <v>3</v>
      </c>
    </row>
    <row r="498" spans="1:11" x14ac:dyDescent="0.3">
      <c r="A498" s="4">
        <v>497</v>
      </c>
      <c r="B498" t="s">
        <v>14</v>
      </c>
      <c r="C498" s="1">
        <v>43967</v>
      </c>
      <c r="D498" s="1"/>
      <c r="E498" t="s">
        <v>8</v>
      </c>
      <c r="F498" s="11">
        <f ca="1">IF(HR[[#This Row],[ Employee Status]]="exited",HR[[#This Row],[ExitDate]]-HR[[#This Row],[HireDate]],TODAY()-HR[[#This Row],[HireDate]])/365</f>
        <v>6.1452054794520548</v>
      </c>
      <c r="G498" s="4" t="str">
        <f>IF(HR[[#This Row],[ Employee Status]]="still working","",YEAR(HR[[#This Row],[ExitDate]]))</f>
        <v/>
      </c>
      <c r="H498" s="6">
        <v>10609</v>
      </c>
      <c r="I498" s="10">
        <v>4.59</v>
      </c>
      <c r="J498" s="10">
        <v>3.35</v>
      </c>
      <c r="K498" s="4">
        <v>24</v>
      </c>
    </row>
    <row r="499" spans="1:11" x14ac:dyDescent="0.3">
      <c r="A499" s="4">
        <v>498</v>
      </c>
      <c r="B499" t="s">
        <v>7</v>
      </c>
      <c r="C499" s="1">
        <v>43495</v>
      </c>
      <c r="D499" s="1"/>
      <c r="E499" t="s">
        <v>8</v>
      </c>
      <c r="F499" s="11">
        <f ca="1">IF(HR[[#This Row],[ Employee Status]]="exited",HR[[#This Row],[ExitDate]]-HR[[#This Row],[HireDate]],TODAY()-HR[[#This Row],[HireDate]])/365</f>
        <v>7.4383561643835616</v>
      </c>
      <c r="G499" s="4" t="str">
        <f>IF(HR[[#This Row],[ Employee Status]]="still working","",YEAR(HR[[#This Row],[ExitDate]]))</f>
        <v/>
      </c>
      <c r="H499" s="6">
        <v>7478</v>
      </c>
      <c r="I499" s="10">
        <v>2.42</v>
      </c>
      <c r="J499" s="10">
        <v>3.32</v>
      </c>
      <c r="K499" s="4">
        <v>15</v>
      </c>
    </row>
    <row r="500" spans="1:11" x14ac:dyDescent="0.3">
      <c r="A500" s="4">
        <v>499</v>
      </c>
      <c r="B500" t="s">
        <v>14</v>
      </c>
      <c r="C500" s="1">
        <v>43298</v>
      </c>
      <c r="D500" s="1"/>
      <c r="E500" t="s">
        <v>8</v>
      </c>
      <c r="F500" s="11">
        <f ca="1">IF(HR[[#This Row],[ Employee Status]]="exited",HR[[#This Row],[ExitDate]]-HR[[#This Row],[HireDate]],TODAY()-HR[[#This Row],[HireDate]])/365</f>
        <v>7.978082191780822</v>
      </c>
      <c r="G500" s="4" t="str">
        <f>IF(HR[[#This Row],[ Employee Status]]="still working","",YEAR(HR[[#This Row],[ExitDate]]))</f>
        <v/>
      </c>
      <c r="H500" s="6">
        <v>8741</v>
      </c>
      <c r="I500" s="10">
        <v>3.9</v>
      </c>
      <c r="J500" s="10">
        <v>2.88</v>
      </c>
      <c r="K500" s="4">
        <v>20</v>
      </c>
    </row>
    <row r="501" spans="1:11" x14ac:dyDescent="0.3">
      <c r="A501" s="4">
        <v>500</v>
      </c>
      <c r="B501" t="s">
        <v>9</v>
      </c>
      <c r="C501" s="1">
        <v>45282</v>
      </c>
      <c r="D501" s="1">
        <v>46473</v>
      </c>
      <c r="E501" t="s">
        <v>12</v>
      </c>
      <c r="F501" s="11">
        <f ca="1">IF(HR[[#This Row],[ Employee Status]]="exited",HR[[#This Row],[ExitDate]]-HR[[#This Row],[HireDate]],TODAY()-HR[[#This Row],[HireDate]])/365</f>
        <v>3.2630136986301368</v>
      </c>
      <c r="G501" s="4">
        <f>IF(HR[[#This Row],[ Employee Status]]="still working","",YEAR(HR[[#This Row],[ExitDate]]))</f>
        <v>2027</v>
      </c>
      <c r="H501" s="6">
        <v>8232</v>
      </c>
      <c r="I501" s="10">
        <v>3.51</v>
      </c>
      <c r="J501" s="10">
        <v>4.8</v>
      </c>
      <c r="K501" s="4">
        <v>28</v>
      </c>
    </row>
    <row r="502" spans="1:11" x14ac:dyDescent="0.3">
      <c r="A502" s="4">
        <v>501</v>
      </c>
      <c r="B502" t="s">
        <v>11</v>
      </c>
      <c r="C502" s="1">
        <v>43912</v>
      </c>
      <c r="D502" s="1"/>
      <c r="E502" t="s">
        <v>8</v>
      </c>
      <c r="F502" s="11">
        <f ca="1">IF(HR[[#This Row],[ Employee Status]]="exited",HR[[#This Row],[ExitDate]]-HR[[#This Row],[HireDate]],TODAY()-HR[[#This Row],[HireDate]])/365</f>
        <v>6.2958904109589042</v>
      </c>
      <c r="G502" s="4" t="str">
        <f>IF(HR[[#This Row],[ Employee Status]]="still working","",YEAR(HR[[#This Row],[ExitDate]]))</f>
        <v/>
      </c>
      <c r="H502" s="6">
        <v>10031</v>
      </c>
      <c r="I502" s="10">
        <v>3.5</v>
      </c>
      <c r="J502" s="10">
        <v>3.76</v>
      </c>
      <c r="K502" s="4">
        <v>24</v>
      </c>
    </row>
    <row r="503" spans="1:11" x14ac:dyDescent="0.3">
      <c r="A503" s="4">
        <v>502</v>
      </c>
      <c r="B503" t="s">
        <v>10</v>
      </c>
      <c r="C503" s="1">
        <v>43265</v>
      </c>
      <c r="D503" s="1"/>
      <c r="E503" t="s">
        <v>8</v>
      </c>
      <c r="F503" s="11">
        <f ca="1">IF(HR[[#This Row],[ Employee Status]]="exited",HR[[#This Row],[ExitDate]]-HR[[#This Row],[HireDate]],TODAY()-HR[[#This Row],[HireDate]])/365</f>
        <v>8.0684931506849313</v>
      </c>
      <c r="G503" s="4" t="str">
        <f>IF(HR[[#This Row],[ Employee Status]]="still working","",YEAR(HR[[#This Row],[ExitDate]]))</f>
        <v/>
      </c>
      <c r="H503" s="6">
        <v>3917</v>
      </c>
      <c r="I503" s="10">
        <v>3.8</v>
      </c>
      <c r="J503" s="10">
        <v>1.72</v>
      </c>
      <c r="K503" s="4">
        <v>11</v>
      </c>
    </row>
    <row r="504" spans="1:11" x14ac:dyDescent="0.3">
      <c r="A504" s="4">
        <v>503</v>
      </c>
      <c r="B504" t="s">
        <v>10</v>
      </c>
      <c r="C504" s="1">
        <v>45029</v>
      </c>
      <c r="D504" s="1"/>
      <c r="E504" t="s">
        <v>8</v>
      </c>
      <c r="F504" s="11">
        <f ca="1">IF(HR[[#This Row],[ Employee Status]]="exited",HR[[#This Row],[ExitDate]]-HR[[#This Row],[HireDate]],TODAY()-HR[[#This Row],[HireDate]])/365</f>
        <v>3.2356164383561645</v>
      </c>
      <c r="G504" s="4" t="str">
        <f>IF(HR[[#This Row],[ Employee Status]]="still working","",YEAR(HR[[#This Row],[ExitDate]]))</f>
        <v/>
      </c>
      <c r="H504" s="6">
        <v>10086</v>
      </c>
      <c r="I504" s="10">
        <v>2.1800000000000002</v>
      </c>
      <c r="J504" s="10">
        <v>3.74</v>
      </c>
      <c r="K504" s="4">
        <v>0</v>
      </c>
    </row>
    <row r="505" spans="1:11" x14ac:dyDescent="0.3">
      <c r="A505" s="4">
        <v>504</v>
      </c>
      <c r="B505" t="s">
        <v>14</v>
      </c>
      <c r="C505" s="1">
        <v>44610</v>
      </c>
      <c r="D505" s="1"/>
      <c r="E505" t="s">
        <v>8</v>
      </c>
      <c r="F505" s="11">
        <f ca="1">IF(HR[[#This Row],[ Employee Status]]="exited",HR[[#This Row],[ExitDate]]-HR[[#This Row],[HireDate]],TODAY()-HR[[#This Row],[HireDate]])/365</f>
        <v>4.3835616438356162</v>
      </c>
      <c r="G505" s="4" t="str">
        <f>IF(HR[[#This Row],[ Employee Status]]="still working","",YEAR(HR[[#This Row],[ExitDate]]))</f>
        <v/>
      </c>
      <c r="H505" s="6">
        <v>3206</v>
      </c>
      <c r="I505" s="10">
        <v>4.88</v>
      </c>
      <c r="J505" s="10">
        <v>3.14</v>
      </c>
      <c r="K505" s="4">
        <v>23</v>
      </c>
    </row>
    <row r="506" spans="1:11" x14ac:dyDescent="0.3">
      <c r="A506" s="4">
        <v>505</v>
      </c>
      <c r="B506" t="s">
        <v>7</v>
      </c>
      <c r="C506" s="1">
        <v>43461</v>
      </c>
      <c r="D506" s="1">
        <v>44019</v>
      </c>
      <c r="E506" t="s">
        <v>12</v>
      </c>
      <c r="F506" s="11">
        <f ca="1">IF(HR[[#This Row],[ Employee Status]]="exited",HR[[#This Row],[ExitDate]]-HR[[#This Row],[HireDate]],TODAY()-HR[[#This Row],[HireDate]])/365</f>
        <v>1.5287671232876712</v>
      </c>
      <c r="G506" s="4">
        <f>IF(HR[[#This Row],[ Employee Status]]="still working","",YEAR(HR[[#This Row],[ExitDate]]))</f>
        <v>2020</v>
      </c>
      <c r="H506" s="6">
        <v>6020</v>
      </c>
      <c r="I506" s="10">
        <v>3.93</v>
      </c>
      <c r="J506" s="10">
        <v>1.31</v>
      </c>
      <c r="K506" s="4">
        <v>10</v>
      </c>
    </row>
    <row r="507" spans="1:11" x14ac:dyDescent="0.3">
      <c r="A507" s="4">
        <v>506</v>
      </c>
      <c r="B507" t="s">
        <v>14</v>
      </c>
      <c r="C507" s="1">
        <v>43242</v>
      </c>
      <c r="D507" s="1"/>
      <c r="E507" t="s">
        <v>8</v>
      </c>
      <c r="F507" s="11">
        <f ca="1">IF(HR[[#This Row],[ Employee Status]]="exited",HR[[#This Row],[ExitDate]]-HR[[#This Row],[HireDate]],TODAY()-HR[[#This Row],[HireDate]])/365</f>
        <v>8.131506849315068</v>
      </c>
      <c r="G507" s="4" t="str">
        <f>IF(HR[[#This Row],[ Employee Status]]="still working","",YEAR(HR[[#This Row],[ExitDate]]))</f>
        <v/>
      </c>
      <c r="H507" s="6">
        <v>14413</v>
      </c>
      <c r="I507" s="10">
        <v>2.69</v>
      </c>
      <c r="J507" s="10">
        <v>4.66</v>
      </c>
      <c r="K507" s="4">
        <v>19</v>
      </c>
    </row>
    <row r="508" spans="1:11" x14ac:dyDescent="0.3">
      <c r="A508" s="4">
        <v>507</v>
      </c>
      <c r="B508" t="s">
        <v>11</v>
      </c>
      <c r="C508" s="1">
        <v>44524</v>
      </c>
      <c r="D508" s="1">
        <v>45631</v>
      </c>
      <c r="E508" t="s">
        <v>12</v>
      </c>
      <c r="F508" s="11">
        <f ca="1">IF(HR[[#This Row],[ Employee Status]]="exited",HR[[#This Row],[ExitDate]]-HR[[#This Row],[HireDate]],TODAY()-HR[[#This Row],[HireDate]])/365</f>
        <v>3.032876712328767</v>
      </c>
      <c r="G508" s="4">
        <f>IF(HR[[#This Row],[ Employee Status]]="still working","",YEAR(HR[[#This Row],[ExitDate]]))</f>
        <v>2024</v>
      </c>
      <c r="H508" s="6">
        <v>8866</v>
      </c>
      <c r="I508" s="10">
        <v>4.66</v>
      </c>
      <c r="J508" s="10">
        <v>1.79</v>
      </c>
      <c r="K508" s="4">
        <v>20</v>
      </c>
    </row>
    <row r="509" spans="1:11" x14ac:dyDescent="0.3">
      <c r="A509" s="4">
        <v>508</v>
      </c>
      <c r="B509" t="s">
        <v>13</v>
      </c>
      <c r="C509" s="1">
        <v>45314</v>
      </c>
      <c r="D509" s="1">
        <v>45544</v>
      </c>
      <c r="E509" t="s">
        <v>12</v>
      </c>
      <c r="F509" s="11">
        <f ca="1">IF(HR[[#This Row],[ Employee Status]]="exited",HR[[#This Row],[ExitDate]]-HR[[#This Row],[HireDate]],TODAY()-HR[[#This Row],[HireDate]])/365</f>
        <v>0.63013698630136983</v>
      </c>
      <c r="G509" s="4">
        <f>IF(HR[[#This Row],[ Employee Status]]="still working","",YEAR(HR[[#This Row],[ExitDate]]))</f>
        <v>2024</v>
      </c>
      <c r="H509" s="6">
        <v>5259</v>
      </c>
      <c r="I509" s="10">
        <v>3.81</v>
      </c>
      <c r="J509" s="10">
        <v>3.48</v>
      </c>
      <c r="K509" s="4">
        <v>14</v>
      </c>
    </row>
    <row r="510" spans="1:11" x14ac:dyDescent="0.3">
      <c r="A510" s="4">
        <v>509</v>
      </c>
      <c r="B510" t="s">
        <v>11</v>
      </c>
      <c r="C510" s="1">
        <v>45055</v>
      </c>
      <c r="D510" s="1">
        <v>45259</v>
      </c>
      <c r="E510" t="s">
        <v>12</v>
      </c>
      <c r="F510" s="11">
        <f ca="1">IF(HR[[#This Row],[ Employee Status]]="exited",HR[[#This Row],[ExitDate]]-HR[[#This Row],[HireDate]],TODAY()-HR[[#This Row],[HireDate]])/365</f>
        <v>0.55890410958904113</v>
      </c>
      <c r="G510" s="4">
        <f>IF(HR[[#This Row],[ Employee Status]]="still working","",YEAR(HR[[#This Row],[ExitDate]]))</f>
        <v>2023</v>
      </c>
      <c r="H510" s="6">
        <v>9419</v>
      </c>
      <c r="I510" s="10">
        <v>3.19</v>
      </c>
      <c r="J510" s="10">
        <v>3.68</v>
      </c>
      <c r="K510" s="4">
        <v>9</v>
      </c>
    </row>
    <row r="511" spans="1:11" x14ac:dyDescent="0.3">
      <c r="A511" s="4">
        <v>510</v>
      </c>
      <c r="B511" t="s">
        <v>14</v>
      </c>
      <c r="C511" s="1">
        <v>44635</v>
      </c>
      <c r="D511" s="1">
        <v>45171</v>
      </c>
      <c r="E511" t="s">
        <v>12</v>
      </c>
      <c r="F511" s="11">
        <f ca="1">IF(HR[[#This Row],[ Employee Status]]="exited",HR[[#This Row],[ExitDate]]-HR[[#This Row],[HireDate]],TODAY()-HR[[#This Row],[HireDate]])/365</f>
        <v>1.4684931506849315</v>
      </c>
      <c r="G511" s="4">
        <f>IF(HR[[#This Row],[ Employee Status]]="still working","",YEAR(HR[[#This Row],[ExitDate]]))</f>
        <v>2023</v>
      </c>
      <c r="H511" s="6">
        <v>7589</v>
      </c>
      <c r="I511" s="10">
        <v>2.63</v>
      </c>
      <c r="J511" s="10">
        <v>1.92</v>
      </c>
      <c r="K511" s="4">
        <v>19</v>
      </c>
    </row>
    <row r="512" spans="1:11" x14ac:dyDescent="0.3">
      <c r="A512" s="4">
        <v>511</v>
      </c>
      <c r="B512" t="s">
        <v>10</v>
      </c>
      <c r="C512" s="1">
        <v>45156</v>
      </c>
      <c r="D512" s="1"/>
      <c r="E512" t="s">
        <v>8</v>
      </c>
      <c r="F512" s="11">
        <f ca="1">IF(HR[[#This Row],[ Employee Status]]="exited",HR[[#This Row],[ExitDate]]-HR[[#This Row],[HireDate]],TODAY()-HR[[#This Row],[HireDate]])/365</f>
        <v>2.8876712328767122</v>
      </c>
      <c r="G512" s="4" t="str">
        <f>IF(HR[[#This Row],[ Employee Status]]="still working","",YEAR(HR[[#This Row],[ExitDate]]))</f>
        <v/>
      </c>
      <c r="H512" s="6">
        <v>9628</v>
      </c>
      <c r="I512" s="10">
        <v>2.5</v>
      </c>
      <c r="J512" s="10">
        <v>1.46</v>
      </c>
      <c r="K512" s="4">
        <v>11</v>
      </c>
    </row>
    <row r="513" spans="1:11" x14ac:dyDescent="0.3">
      <c r="A513" s="4">
        <v>512</v>
      </c>
      <c r="B513" t="s">
        <v>14</v>
      </c>
      <c r="C513" s="1">
        <v>44751</v>
      </c>
      <c r="D513" s="1"/>
      <c r="E513" t="s">
        <v>8</v>
      </c>
      <c r="F513" s="11">
        <f ca="1">IF(HR[[#This Row],[ Employee Status]]="exited",HR[[#This Row],[ExitDate]]-HR[[#This Row],[HireDate]],TODAY()-HR[[#This Row],[HireDate]])/365</f>
        <v>3.9972602739726026</v>
      </c>
      <c r="G513" s="4" t="str">
        <f>IF(HR[[#This Row],[ Employee Status]]="still working","",YEAR(HR[[#This Row],[ExitDate]]))</f>
        <v/>
      </c>
      <c r="H513" s="6">
        <v>11301</v>
      </c>
      <c r="I513" s="10">
        <v>2.06</v>
      </c>
      <c r="J513" s="10">
        <v>4.3099999999999996</v>
      </c>
      <c r="K513" s="4">
        <v>27</v>
      </c>
    </row>
    <row r="514" spans="1:11" x14ac:dyDescent="0.3">
      <c r="A514" s="4">
        <v>513</v>
      </c>
      <c r="B514" t="s">
        <v>7</v>
      </c>
      <c r="C514" s="1">
        <v>44726</v>
      </c>
      <c r="D514" s="1"/>
      <c r="E514" t="s">
        <v>8</v>
      </c>
      <c r="F514" s="11">
        <f ca="1">IF(HR[[#This Row],[ Employee Status]]="exited",HR[[#This Row],[ExitDate]]-HR[[#This Row],[HireDate]],TODAY()-HR[[#This Row],[HireDate]])/365</f>
        <v>4.065753424657534</v>
      </c>
      <c r="G514" s="4" t="str">
        <f>IF(HR[[#This Row],[ Employee Status]]="still working","",YEAR(HR[[#This Row],[ExitDate]]))</f>
        <v/>
      </c>
      <c r="H514" s="6">
        <v>4036</v>
      </c>
      <c r="I514" s="10">
        <v>4.43</v>
      </c>
      <c r="J514" s="10">
        <v>1.59</v>
      </c>
      <c r="K514" s="4">
        <v>5</v>
      </c>
    </row>
    <row r="515" spans="1:11" x14ac:dyDescent="0.3">
      <c r="A515" s="4">
        <v>514</v>
      </c>
      <c r="B515" t="s">
        <v>11</v>
      </c>
      <c r="C515" s="1">
        <v>45138</v>
      </c>
      <c r="D515" s="1">
        <v>45763</v>
      </c>
      <c r="E515" t="s">
        <v>12</v>
      </c>
      <c r="F515" s="11">
        <f ca="1">IF(HR[[#This Row],[ Employee Status]]="exited",HR[[#This Row],[ExitDate]]-HR[[#This Row],[HireDate]],TODAY()-HR[[#This Row],[HireDate]])/365</f>
        <v>1.7123287671232876</v>
      </c>
      <c r="G515" s="4">
        <f>IF(HR[[#This Row],[ Employee Status]]="still working","",YEAR(HR[[#This Row],[ExitDate]]))</f>
        <v>2025</v>
      </c>
      <c r="H515" s="6">
        <v>14905</v>
      </c>
      <c r="I515" s="10">
        <v>3.85</v>
      </c>
      <c r="J515" s="10">
        <v>1.62</v>
      </c>
      <c r="K515" s="4">
        <v>5</v>
      </c>
    </row>
    <row r="516" spans="1:11" x14ac:dyDescent="0.3">
      <c r="A516" s="4">
        <v>515</v>
      </c>
      <c r="B516" t="s">
        <v>11</v>
      </c>
      <c r="C516" s="1">
        <v>44024</v>
      </c>
      <c r="D516" s="1">
        <v>44121</v>
      </c>
      <c r="E516" t="s">
        <v>12</v>
      </c>
      <c r="F516" s="11">
        <f ca="1">IF(HR[[#This Row],[ Employee Status]]="exited",HR[[#This Row],[ExitDate]]-HR[[#This Row],[HireDate]],TODAY()-HR[[#This Row],[HireDate]])/365</f>
        <v>0.26575342465753427</v>
      </c>
      <c r="G516" s="4">
        <f>IF(HR[[#This Row],[ Employee Status]]="still working","",YEAR(HR[[#This Row],[ExitDate]]))</f>
        <v>2020</v>
      </c>
      <c r="H516" s="6">
        <v>13135</v>
      </c>
      <c r="I516" s="10">
        <v>3.46</v>
      </c>
      <c r="J516" s="10">
        <v>1.33</v>
      </c>
      <c r="K516" s="4">
        <v>22</v>
      </c>
    </row>
    <row r="517" spans="1:11" x14ac:dyDescent="0.3">
      <c r="A517" s="4">
        <v>516</v>
      </c>
      <c r="B517" t="s">
        <v>10</v>
      </c>
      <c r="C517" s="1">
        <v>45021</v>
      </c>
      <c r="D517" s="1">
        <v>46042</v>
      </c>
      <c r="E517" t="s">
        <v>12</v>
      </c>
      <c r="F517" s="11">
        <f ca="1">IF(HR[[#This Row],[ Employee Status]]="exited",HR[[#This Row],[ExitDate]]-HR[[#This Row],[HireDate]],TODAY()-HR[[#This Row],[HireDate]])/365</f>
        <v>2.7972602739726029</v>
      </c>
      <c r="G517" s="4">
        <f>IF(HR[[#This Row],[ Employee Status]]="still working","",YEAR(HR[[#This Row],[ExitDate]]))</f>
        <v>2026</v>
      </c>
      <c r="H517" s="6">
        <v>7920</v>
      </c>
      <c r="I517" s="10">
        <v>3.09</v>
      </c>
      <c r="J517" s="10">
        <v>1.76</v>
      </c>
      <c r="K517" s="4">
        <v>24</v>
      </c>
    </row>
    <row r="518" spans="1:11" x14ac:dyDescent="0.3">
      <c r="A518" s="4">
        <v>517</v>
      </c>
      <c r="B518" t="s">
        <v>14</v>
      </c>
      <c r="C518" s="1">
        <v>44857</v>
      </c>
      <c r="D518" s="1"/>
      <c r="E518" t="s">
        <v>8</v>
      </c>
      <c r="F518" s="11">
        <f ca="1">IF(HR[[#This Row],[ Employee Status]]="exited",HR[[#This Row],[ExitDate]]-HR[[#This Row],[HireDate]],TODAY()-HR[[#This Row],[HireDate]])/365</f>
        <v>3.7068493150684931</v>
      </c>
      <c r="G518" s="4" t="str">
        <f>IF(HR[[#This Row],[ Employee Status]]="still working","",YEAR(HR[[#This Row],[ExitDate]]))</f>
        <v/>
      </c>
      <c r="H518" s="6">
        <v>8067</v>
      </c>
      <c r="I518" s="10">
        <v>2.94</v>
      </c>
      <c r="J518" s="10">
        <v>3.15</v>
      </c>
      <c r="K518" s="4">
        <v>6</v>
      </c>
    </row>
    <row r="519" spans="1:11" x14ac:dyDescent="0.3">
      <c r="A519" s="4">
        <v>518</v>
      </c>
      <c r="B519" t="s">
        <v>13</v>
      </c>
      <c r="C519" s="1">
        <v>45623</v>
      </c>
      <c r="D519" s="1"/>
      <c r="E519" t="s">
        <v>8</v>
      </c>
      <c r="F519" s="11">
        <f ca="1">IF(HR[[#This Row],[ Employee Status]]="exited",HR[[#This Row],[ExitDate]]-HR[[#This Row],[HireDate]],TODAY()-HR[[#This Row],[HireDate]])/365</f>
        <v>1.6082191780821917</v>
      </c>
      <c r="G519" s="4" t="str">
        <f>IF(HR[[#This Row],[ Employee Status]]="still working","",YEAR(HR[[#This Row],[ExitDate]]))</f>
        <v/>
      </c>
      <c r="H519" s="6">
        <v>7135</v>
      </c>
      <c r="I519" s="10">
        <v>3.47</v>
      </c>
      <c r="J519" s="10">
        <v>3.97</v>
      </c>
      <c r="K519" s="4">
        <v>11</v>
      </c>
    </row>
    <row r="520" spans="1:11" x14ac:dyDescent="0.3">
      <c r="A520" s="4">
        <v>519</v>
      </c>
      <c r="B520" t="s">
        <v>14</v>
      </c>
      <c r="C520" s="1">
        <v>44830</v>
      </c>
      <c r="D520" s="1"/>
      <c r="E520" t="s">
        <v>8</v>
      </c>
      <c r="F520" s="11">
        <f ca="1">IF(HR[[#This Row],[ Employee Status]]="exited",HR[[#This Row],[ExitDate]]-HR[[#This Row],[HireDate]],TODAY()-HR[[#This Row],[HireDate]])/365</f>
        <v>3.7808219178082192</v>
      </c>
      <c r="G520" s="4" t="str">
        <f>IF(HR[[#This Row],[ Employee Status]]="still working","",YEAR(HR[[#This Row],[ExitDate]]))</f>
        <v/>
      </c>
      <c r="H520" s="6">
        <v>9587</v>
      </c>
      <c r="I520" s="10">
        <v>3.22</v>
      </c>
      <c r="J520" s="10">
        <v>2.31</v>
      </c>
      <c r="K520" s="4">
        <v>3</v>
      </c>
    </row>
    <row r="521" spans="1:11" x14ac:dyDescent="0.3">
      <c r="A521" s="4">
        <v>520</v>
      </c>
      <c r="B521" t="s">
        <v>11</v>
      </c>
      <c r="C521" s="1">
        <v>44309</v>
      </c>
      <c r="D521" s="1"/>
      <c r="E521" t="s">
        <v>8</v>
      </c>
      <c r="F521" s="11">
        <f ca="1">IF(HR[[#This Row],[ Employee Status]]="exited",HR[[#This Row],[ExitDate]]-HR[[#This Row],[HireDate]],TODAY()-HR[[#This Row],[HireDate]])/365</f>
        <v>5.2082191780821914</v>
      </c>
      <c r="G521" s="4" t="str">
        <f>IF(HR[[#This Row],[ Employee Status]]="still working","",YEAR(HR[[#This Row],[ExitDate]]))</f>
        <v/>
      </c>
      <c r="H521" s="6">
        <v>5535</v>
      </c>
      <c r="I521" s="10">
        <v>2.5299999999999998</v>
      </c>
      <c r="J521" s="10">
        <v>3.27</v>
      </c>
      <c r="K521" s="4">
        <v>24</v>
      </c>
    </row>
    <row r="522" spans="1:11" x14ac:dyDescent="0.3">
      <c r="A522" s="4">
        <v>521</v>
      </c>
      <c r="B522" t="s">
        <v>11</v>
      </c>
      <c r="C522" s="1">
        <v>43880</v>
      </c>
      <c r="D522" s="1"/>
      <c r="E522" t="s">
        <v>8</v>
      </c>
      <c r="F522" s="11">
        <f ca="1">IF(HR[[#This Row],[ Employee Status]]="exited",HR[[#This Row],[ExitDate]]-HR[[#This Row],[HireDate]],TODAY()-HR[[#This Row],[HireDate]])/365</f>
        <v>6.3835616438356162</v>
      </c>
      <c r="G522" s="4" t="str">
        <f>IF(HR[[#This Row],[ Employee Status]]="still working","",YEAR(HR[[#This Row],[ExitDate]]))</f>
        <v/>
      </c>
      <c r="H522" s="6">
        <v>4630</v>
      </c>
      <c r="I522" s="10">
        <v>4.8</v>
      </c>
      <c r="J522" s="10">
        <v>3.97</v>
      </c>
      <c r="K522" s="4">
        <v>26</v>
      </c>
    </row>
    <row r="523" spans="1:11" x14ac:dyDescent="0.3">
      <c r="A523" s="4">
        <v>522</v>
      </c>
      <c r="B523" t="s">
        <v>11</v>
      </c>
      <c r="C523" s="1">
        <v>44894</v>
      </c>
      <c r="D523" s="1"/>
      <c r="E523" t="s">
        <v>8</v>
      </c>
      <c r="F523" s="11">
        <f ca="1">IF(HR[[#This Row],[ Employee Status]]="exited",HR[[#This Row],[ExitDate]]-HR[[#This Row],[HireDate]],TODAY()-HR[[#This Row],[HireDate]])/365</f>
        <v>3.6054794520547944</v>
      </c>
      <c r="G523" s="4" t="str">
        <f>IF(HR[[#This Row],[ Employee Status]]="still working","",YEAR(HR[[#This Row],[ExitDate]]))</f>
        <v/>
      </c>
      <c r="H523" s="6">
        <v>9263</v>
      </c>
      <c r="I523" s="10">
        <v>2.66</v>
      </c>
      <c r="J523" s="10">
        <v>1.73</v>
      </c>
      <c r="K523" s="4">
        <v>1</v>
      </c>
    </row>
    <row r="524" spans="1:11" x14ac:dyDescent="0.3">
      <c r="A524" s="4">
        <v>523</v>
      </c>
      <c r="B524" t="s">
        <v>7</v>
      </c>
      <c r="C524" s="1">
        <v>43431</v>
      </c>
      <c r="D524" s="1">
        <v>44626</v>
      </c>
      <c r="E524" t="s">
        <v>12</v>
      </c>
      <c r="F524" s="11">
        <f ca="1">IF(HR[[#This Row],[ Employee Status]]="exited",HR[[#This Row],[ExitDate]]-HR[[#This Row],[HireDate]],TODAY()-HR[[#This Row],[HireDate]])/365</f>
        <v>3.2739726027397262</v>
      </c>
      <c r="G524" s="4">
        <f>IF(HR[[#This Row],[ Employee Status]]="still working","",YEAR(HR[[#This Row],[ExitDate]]))</f>
        <v>2022</v>
      </c>
      <c r="H524" s="6">
        <v>9855</v>
      </c>
      <c r="I524" s="10">
        <v>4.3600000000000003</v>
      </c>
      <c r="J524" s="10">
        <v>2.0099999999999998</v>
      </c>
      <c r="K524" s="4">
        <v>9</v>
      </c>
    </row>
    <row r="525" spans="1:11" x14ac:dyDescent="0.3">
      <c r="A525" s="4">
        <v>524</v>
      </c>
      <c r="B525" t="s">
        <v>14</v>
      </c>
      <c r="C525" s="1">
        <v>43603</v>
      </c>
      <c r="D525" s="1"/>
      <c r="E525" t="s">
        <v>8</v>
      </c>
      <c r="F525" s="11">
        <f ca="1">IF(HR[[#This Row],[ Employee Status]]="exited",HR[[#This Row],[ExitDate]]-HR[[#This Row],[HireDate]],TODAY()-HR[[#This Row],[HireDate]])/365</f>
        <v>7.1424657534246574</v>
      </c>
      <c r="G525" s="4" t="str">
        <f>IF(HR[[#This Row],[ Employee Status]]="still working","",YEAR(HR[[#This Row],[ExitDate]]))</f>
        <v/>
      </c>
      <c r="H525" s="6">
        <v>10243</v>
      </c>
      <c r="I525" s="10">
        <v>4.3899999999999997</v>
      </c>
      <c r="J525" s="10">
        <v>1.7</v>
      </c>
      <c r="K525" s="4">
        <v>24</v>
      </c>
    </row>
    <row r="526" spans="1:11" x14ac:dyDescent="0.3">
      <c r="A526" s="4">
        <v>525</v>
      </c>
      <c r="B526" t="s">
        <v>11</v>
      </c>
      <c r="C526" s="1">
        <v>43979</v>
      </c>
      <c r="D526" s="1"/>
      <c r="E526" t="s">
        <v>8</v>
      </c>
      <c r="F526" s="11">
        <f ca="1">IF(HR[[#This Row],[ Employee Status]]="exited",HR[[#This Row],[ExitDate]]-HR[[#This Row],[HireDate]],TODAY()-HR[[#This Row],[HireDate]])/365</f>
        <v>6.1123287671232873</v>
      </c>
      <c r="G526" s="4" t="str">
        <f>IF(HR[[#This Row],[ Employee Status]]="still working","",YEAR(HR[[#This Row],[ExitDate]]))</f>
        <v/>
      </c>
      <c r="H526" s="6">
        <v>7820</v>
      </c>
      <c r="I526" s="10">
        <v>2.79</v>
      </c>
      <c r="J526" s="10">
        <v>1</v>
      </c>
      <c r="K526" s="4">
        <v>9</v>
      </c>
    </row>
    <row r="527" spans="1:11" x14ac:dyDescent="0.3">
      <c r="A527" s="4">
        <v>526</v>
      </c>
      <c r="B527" t="s">
        <v>9</v>
      </c>
      <c r="C527" s="1">
        <v>43228</v>
      </c>
      <c r="D527" s="1">
        <v>44508</v>
      </c>
      <c r="E527" t="s">
        <v>12</v>
      </c>
      <c r="F527" s="11">
        <f ca="1">IF(HR[[#This Row],[ Employee Status]]="exited",HR[[#This Row],[ExitDate]]-HR[[#This Row],[HireDate]],TODAY()-HR[[#This Row],[HireDate]])/365</f>
        <v>3.506849315068493</v>
      </c>
      <c r="G527" s="4">
        <f>IF(HR[[#This Row],[ Employee Status]]="still working","",YEAR(HR[[#This Row],[ExitDate]]))</f>
        <v>2021</v>
      </c>
      <c r="H527" s="6">
        <v>5547</v>
      </c>
      <c r="I527" s="10">
        <v>3.37</v>
      </c>
      <c r="J527" s="10">
        <v>2.4</v>
      </c>
      <c r="K527" s="4">
        <v>16</v>
      </c>
    </row>
    <row r="528" spans="1:11" x14ac:dyDescent="0.3">
      <c r="A528" s="4">
        <v>527</v>
      </c>
      <c r="B528" t="s">
        <v>10</v>
      </c>
      <c r="C528" s="1">
        <v>43481</v>
      </c>
      <c r="D528" s="1"/>
      <c r="E528" t="s">
        <v>8</v>
      </c>
      <c r="F528" s="11">
        <f ca="1">IF(HR[[#This Row],[ Employee Status]]="exited",HR[[#This Row],[ExitDate]]-HR[[#This Row],[HireDate]],TODAY()-HR[[#This Row],[HireDate]])/365</f>
        <v>7.4767123287671229</v>
      </c>
      <c r="G528" s="4" t="str">
        <f>IF(HR[[#This Row],[ Employee Status]]="still working","",YEAR(HR[[#This Row],[ExitDate]]))</f>
        <v/>
      </c>
      <c r="H528" s="6">
        <v>8960</v>
      </c>
      <c r="I528" s="10">
        <v>2.62</v>
      </c>
      <c r="J528" s="10">
        <v>1.95</v>
      </c>
      <c r="K528" s="4">
        <v>26</v>
      </c>
    </row>
    <row r="529" spans="1:11" x14ac:dyDescent="0.3">
      <c r="A529" s="4">
        <v>528</v>
      </c>
      <c r="B529" t="s">
        <v>7</v>
      </c>
      <c r="C529" s="1">
        <v>44502</v>
      </c>
      <c r="D529" s="1"/>
      <c r="E529" t="s">
        <v>8</v>
      </c>
      <c r="F529" s="11">
        <f ca="1">IF(HR[[#This Row],[ Employee Status]]="exited",HR[[#This Row],[ExitDate]]-HR[[#This Row],[HireDate]],TODAY()-HR[[#This Row],[HireDate]])/365</f>
        <v>4.6794520547945204</v>
      </c>
      <c r="G529" s="4" t="str">
        <f>IF(HR[[#This Row],[ Employee Status]]="still working","",YEAR(HR[[#This Row],[ExitDate]]))</f>
        <v/>
      </c>
      <c r="H529" s="6">
        <v>12712</v>
      </c>
      <c r="I529" s="10">
        <v>3.85</v>
      </c>
      <c r="J529" s="10">
        <v>4.04</v>
      </c>
      <c r="K529" s="4">
        <v>16</v>
      </c>
    </row>
    <row r="530" spans="1:11" x14ac:dyDescent="0.3">
      <c r="A530" s="4">
        <v>529</v>
      </c>
      <c r="B530" t="s">
        <v>7</v>
      </c>
      <c r="C530" s="1">
        <v>45110</v>
      </c>
      <c r="D530" s="1"/>
      <c r="E530" t="s">
        <v>8</v>
      </c>
      <c r="F530" s="11">
        <f ca="1">IF(HR[[#This Row],[ Employee Status]]="exited",HR[[#This Row],[ExitDate]]-HR[[#This Row],[HireDate]],TODAY()-HR[[#This Row],[HireDate]])/365</f>
        <v>3.0136986301369864</v>
      </c>
      <c r="G530" s="4" t="str">
        <f>IF(HR[[#This Row],[ Employee Status]]="still working","",YEAR(HR[[#This Row],[ExitDate]]))</f>
        <v/>
      </c>
      <c r="H530" s="6">
        <v>9751</v>
      </c>
      <c r="I530" s="10">
        <v>3.43</v>
      </c>
      <c r="J530" s="10">
        <v>3.7</v>
      </c>
      <c r="K530" s="4">
        <v>29</v>
      </c>
    </row>
    <row r="531" spans="1:11" x14ac:dyDescent="0.3">
      <c r="A531" s="4">
        <v>530</v>
      </c>
      <c r="B531" t="s">
        <v>13</v>
      </c>
      <c r="C531" s="1">
        <v>45478</v>
      </c>
      <c r="D531" s="1"/>
      <c r="E531" t="s">
        <v>8</v>
      </c>
      <c r="F531" s="11">
        <f ca="1">IF(HR[[#This Row],[ Employee Status]]="exited",HR[[#This Row],[ExitDate]]-HR[[#This Row],[HireDate]],TODAY()-HR[[#This Row],[HireDate]])/365</f>
        <v>2.0054794520547947</v>
      </c>
      <c r="G531" s="4" t="str">
        <f>IF(HR[[#This Row],[ Employee Status]]="still working","",YEAR(HR[[#This Row],[ExitDate]]))</f>
        <v/>
      </c>
      <c r="H531" s="6">
        <v>14175</v>
      </c>
      <c r="I531" s="10">
        <v>3.4</v>
      </c>
      <c r="J531" s="10">
        <v>4.09</v>
      </c>
      <c r="K531" s="4">
        <v>20</v>
      </c>
    </row>
    <row r="532" spans="1:11" x14ac:dyDescent="0.3">
      <c r="A532" s="4">
        <v>531</v>
      </c>
      <c r="B532" t="s">
        <v>9</v>
      </c>
      <c r="C532" s="1">
        <v>45101</v>
      </c>
      <c r="D532" s="1"/>
      <c r="E532" t="s">
        <v>8</v>
      </c>
      <c r="F532" s="11">
        <f ca="1">IF(HR[[#This Row],[ Employee Status]]="exited",HR[[#This Row],[ExitDate]]-HR[[#This Row],[HireDate]],TODAY()-HR[[#This Row],[HireDate]])/365</f>
        <v>3.0383561643835617</v>
      </c>
      <c r="G532" s="4" t="str">
        <f>IF(HR[[#This Row],[ Employee Status]]="still working","",YEAR(HR[[#This Row],[ExitDate]]))</f>
        <v/>
      </c>
      <c r="H532" s="6">
        <v>10069</v>
      </c>
      <c r="I532" s="10">
        <v>4.5199999999999996</v>
      </c>
      <c r="J532" s="10">
        <v>1.64</v>
      </c>
      <c r="K532" s="4">
        <v>2</v>
      </c>
    </row>
    <row r="533" spans="1:11" x14ac:dyDescent="0.3">
      <c r="A533" s="4">
        <v>532</v>
      </c>
      <c r="B533" t="s">
        <v>13</v>
      </c>
      <c r="C533" s="1">
        <v>44464</v>
      </c>
      <c r="D533" s="1">
        <v>44597</v>
      </c>
      <c r="E533" t="s">
        <v>12</v>
      </c>
      <c r="F533" s="11">
        <f ca="1">IF(HR[[#This Row],[ Employee Status]]="exited",HR[[#This Row],[ExitDate]]-HR[[#This Row],[HireDate]],TODAY()-HR[[#This Row],[HireDate]])/365</f>
        <v>0.36438356164383562</v>
      </c>
      <c r="G533" s="4">
        <f>IF(HR[[#This Row],[ Employee Status]]="still working","",YEAR(HR[[#This Row],[ExitDate]]))</f>
        <v>2022</v>
      </c>
      <c r="H533" s="6">
        <v>8960</v>
      </c>
      <c r="I533" s="10">
        <v>2.33</v>
      </c>
      <c r="J533" s="10">
        <v>3.43</v>
      </c>
      <c r="K533" s="4">
        <v>7</v>
      </c>
    </row>
    <row r="534" spans="1:11" x14ac:dyDescent="0.3">
      <c r="A534" s="4">
        <v>533</v>
      </c>
      <c r="B534" t="s">
        <v>9</v>
      </c>
      <c r="C534" s="1">
        <v>43297</v>
      </c>
      <c r="D534" s="1">
        <v>44251</v>
      </c>
      <c r="E534" t="s">
        <v>12</v>
      </c>
      <c r="F534" s="11">
        <f ca="1">IF(HR[[#This Row],[ Employee Status]]="exited",HR[[#This Row],[ExitDate]]-HR[[#This Row],[HireDate]],TODAY()-HR[[#This Row],[HireDate]])/365</f>
        <v>2.6136986301369864</v>
      </c>
      <c r="G534" s="4">
        <f>IF(HR[[#This Row],[ Employee Status]]="still working","",YEAR(HR[[#This Row],[ExitDate]]))</f>
        <v>2021</v>
      </c>
      <c r="H534" s="6">
        <v>12536</v>
      </c>
      <c r="I534" s="10">
        <v>2.17</v>
      </c>
      <c r="J534" s="10">
        <v>3.27</v>
      </c>
      <c r="K534" s="4">
        <v>16</v>
      </c>
    </row>
    <row r="535" spans="1:11" x14ac:dyDescent="0.3">
      <c r="A535" s="4">
        <v>534</v>
      </c>
      <c r="B535" t="s">
        <v>10</v>
      </c>
      <c r="C535" s="1">
        <v>44726</v>
      </c>
      <c r="D535" s="1"/>
      <c r="E535" t="s">
        <v>8</v>
      </c>
      <c r="F535" s="11">
        <f ca="1">IF(HR[[#This Row],[ Employee Status]]="exited",HR[[#This Row],[ExitDate]]-HR[[#This Row],[HireDate]],TODAY()-HR[[#This Row],[HireDate]])/365</f>
        <v>4.065753424657534</v>
      </c>
      <c r="G535" s="4" t="str">
        <f>IF(HR[[#This Row],[ Employee Status]]="still working","",YEAR(HR[[#This Row],[ExitDate]]))</f>
        <v/>
      </c>
      <c r="H535" s="6">
        <v>11924</v>
      </c>
      <c r="I535" s="10">
        <v>4.78</v>
      </c>
      <c r="J535" s="10">
        <v>2.46</v>
      </c>
      <c r="K535" s="4">
        <v>5</v>
      </c>
    </row>
    <row r="536" spans="1:11" x14ac:dyDescent="0.3">
      <c r="A536" s="4">
        <v>535</v>
      </c>
      <c r="B536" t="s">
        <v>14</v>
      </c>
      <c r="C536" s="1">
        <v>45012</v>
      </c>
      <c r="D536" s="1"/>
      <c r="E536" t="s">
        <v>8</v>
      </c>
      <c r="F536" s="11">
        <f ca="1">IF(HR[[#This Row],[ Employee Status]]="exited",HR[[#This Row],[ExitDate]]-HR[[#This Row],[HireDate]],TODAY()-HR[[#This Row],[HireDate]])/365</f>
        <v>3.2821917808219179</v>
      </c>
      <c r="G536" s="4" t="str">
        <f>IF(HR[[#This Row],[ Employee Status]]="still working","",YEAR(HR[[#This Row],[ExitDate]]))</f>
        <v/>
      </c>
      <c r="H536" s="6">
        <v>7917</v>
      </c>
      <c r="I536" s="10">
        <v>3.26</v>
      </c>
      <c r="J536" s="10">
        <v>2.17</v>
      </c>
      <c r="K536" s="4">
        <v>20</v>
      </c>
    </row>
    <row r="537" spans="1:11" x14ac:dyDescent="0.3">
      <c r="A537" s="4">
        <v>536</v>
      </c>
      <c r="B537" t="s">
        <v>14</v>
      </c>
      <c r="C537" s="1">
        <v>44380</v>
      </c>
      <c r="D537" s="1">
        <v>45764</v>
      </c>
      <c r="E537" t="s">
        <v>12</v>
      </c>
      <c r="F537" s="11">
        <f ca="1">IF(HR[[#This Row],[ Employee Status]]="exited",HR[[#This Row],[ExitDate]]-HR[[#This Row],[HireDate]],TODAY()-HR[[#This Row],[HireDate]])/365</f>
        <v>3.7917808219178082</v>
      </c>
      <c r="G537" s="4">
        <f>IF(HR[[#This Row],[ Employee Status]]="still working","",YEAR(HR[[#This Row],[ExitDate]]))</f>
        <v>2025</v>
      </c>
      <c r="H537" s="6">
        <v>12062</v>
      </c>
      <c r="I537" s="10">
        <v>4.04</v>
      </c>
      <c r="J537" s="10">
        <v>2.27</v>
      </c>
      <c r="K537" s="4">
        <v>1</v>
      </c>
    </row>
    <row r="538" spans="1:11" x14ac:dyDescent="0.3">
      <c r="A538" s="4">
        <v>537</v>
      </c>
      <c r="B538" t="s">
        <v>7</v>
      </c>
      <c r="C538" s="1">
        <v>43424</v>
      </c>
      <c r="D538" s="1"/>
      <c r="E538" t="s">
        <v>8</v>
      </c>
      <c r="F538" s="11">
        <f ca="1">IF(HR[[#This Row],[ Employee Status]]="exited",HR[[#This Row],[ExitDate]]-HR[[#This Row],[HireDate]],TODAY()-HR[[#This Row],[HireDate]])/365</f>
        <v>7.6328767123287671</v>
      </c>
      <c r="G538" s="4" t="str">
        <f>IF(HR[[#This Row],[ Employee Status]]="still working","",YEAR(HR[[#This Row],[ExitDate]]))</f>
        <v/>
      </c>
      <c r="H538" s="6">
        <v>10538</v>
      </c>
      <c r="I538" s="10">
        <v>4.74</v>
      </c>
      <c r="J538" s="10">
        <v>2.36</v>
      </c>
      <c r="K538" s="4">
        <v>12</v>
      </c>
    </row>
    <row r="539" spans="1:11" x14ac:dyDescent="0.3">
      <c r="A539" s="4">
        <v>538</v>
      </c>
      <c r="B539" t="s">
        <v>13</v>
      </c>
      <c r="C539" s="1">
        <v>43576</v>
      </c>
      <c r="D539" s="1"/>
      <c r="E539" t="s">
        <v>8</v>
      </c>
      <c r="F539" s="11">
        <f ca="1">IF(HR[[#This Row],[ Employee Status]]="exited",HR[[#This Row],[ExitDate]]-HR[[#This Row],[HireDate]],TODAY()-HR[[#This Row],[HireDate]])/365</f>
        <v>7.2164383561643834</v>
      </c>
      <c r="G539" s="4" t="str">
        <f>IF(HR[[#This Row],[ Employee Status]]="still working","",YEAR(HR[[#This Row],[ExitDate]]))</f>
        <v/>
      </c>
      <c r="H539" s="6">
        <v>6176</v>
      </c>
      <c r="I539" s="10">
        <v>4.38</v>
      </c>
      <c r="J539" s="10">
        <v>2.11</v>
      </c>
      <c r="K539" s="4">
        <v>13</v>
      </c>
    </row>
    <row r="540" spans="1:11" x14ac:dyDescent="0.3">
      <c r="A540" s="4">
        <v>539</v>
      </c>
      <c r="B540" t="s">
        <v>14</v>
      </c>
      <c r="C540" s="1">
        <v>43886</v>
      </c>
      <c r="D540" s="1"/>
      <c r="E540" t="s">
        <v>8</v>
      </c>
      <c r="F540" s="11">
        <f ca="1">IF(HR[[#This Row],[ Employee Status]]="exited",HR[[#This Row],[ExitDate]]-HR[[#This Row],[HireDate]],TODAY()-HR[[#This Row],[HireDate]])/365</f>
        <v>6.3671232876712329</v>
      </c>
      <c r="G540" s="4" t="str">
        <f>IF(HR[[#This Row],[ Employee Status]]="still working","",YEAR(HR[[#This Row],[ExitDate]]))</f>
        <v/>
      </c>
      <c r="H540" s="6">
        <v>7891</v>
      </c>
      <c r="I540" s="10">
        <v>4.5</v>
      </c>
      <c r="J540" s="10">
        <v>4.74</v>
      </c>
      <c r="K540" s="4">
        <v>7</v>
      </c>
    </row>
    <row r="541" spans="1:11" x14ac:dyDescent="0.3">
      <c r="A541" s="4">
        <v>540</v>
      </c>
      <c r="B541" t="s">
        <v>10</v>
      </c>
      <c r="C541" s="1">
        <v>45504</v>
      </c>
      <c r="D541" s="1">
        <v>46405</v>
      </c>
      <c r="E541" t="s">
        <v>12</v>
      </c>
      <c r="F541" s="11">
        <f ca="1">IF(HR[[#This Row],[ Employee Status]]="exited",HR[[#This Row],[ExitDate]]-HR[[#This Row],[HireDate]],TODAY()-HR[[#This Row],[HireDate]])/365</f>
        <v>2.4684931506849317</v>
      </c>
      <c r="G541" s="4">
        <f>IF(HR[[#This Row],[ Employee Status]]="still working","",YEAR(HR[[#This Row],[ExitDate]]))</f>
        <v>2027</v>
      </c>
      <c r="H541" s="6">
        <v>7005</v>
      </c>
      <c r="I541" s="10">
        <v>2.4900000000000002</v>
      </c>
      <c r="J541" s="10">
        <v>3.38</v>
      </c>
      <c r="K541" s="4">
        <v>23</v>
      </c>
    </row>
    <row r="542" spans="1:11" x14ac:dyDescent="0.3">
      <c r="A542" s="4">
        <v>541</v>
      </c>
      <c r="B542" t="s">
        <v>7</v>
      </c>
      <c r="C542" s="1">
        <v>43966</v>
      </c>
      <c r="D542" s="1"/>
      <c r="E542" t="s">
        <v>8</v>
      </c>
      <c r="F542" s="11">
        <f ca="1">IF(HR[[#This Row],[ Employee Status]]="exited",HR[[#This Row],[ExitDate]]-HR[[#This Row],[HireDate]],TODAY()-HR[[#This Row],[HireDate]])/365</f>
        <v>6.1479452054794521</v>
      </c>
      <c r="G542" s="4" t="str">
        <f>IF(HR[[#This Row],[ Employee Status]]="still working","",YEAR(HR[[#This Row],[ExitDate]]))</f>
        <v/>
      </c>
      <c r="H542" s="6">
        <v>11728</v>
      </c>
      <c r="I542" s="10">
        <v>2.02</v>
      </c>
      <c r="J542" s="10">
        <v>1.24</v>
      </c>
      <c r="K542" s="4">
        <v>8</v>
      </c>
    </row>
    <row r="543" spans="1:11" x14ac:dyDescent="0.3">
      <c r="A543" s="4">
        <v>542</v>
      </c>
      <c r="B543" t="s">
        <v>10</v>
      </c>
      <c r="C543" s="1">
        <v>43991</v>
      </c>
      <c r="D543" s="1">
        <v>45290</v>
      </c>
      <c r="E543" t="s">
        <v>12</v>
      </c>
      <c r="F543" s="11">
        <f ca="1">IF(HR[[#This Row],[ Employee Status]]="exited",HR[[#This Row],[ExitDate]]-HR[[#This Row],[HireDate]],TODAY()-HR[[#This Row],[HireDate]])/365</f>
        <v>3.558904109589041</v>
      </c>
      <c r="G543" s="4">
        <f>IF(HR[[#This Row],[ Employee Status]]="still working","",YEAR(HR[[#This Row],[ExitDate]]))</f>
        <v>2023</v>
      </c>
      <c r="H543" s="6">
        <v>11002</v>
      </c>
      <c r="I543" s="10">
        <v>4.82</v>
      </c>
      <c r="J543" s="10">
        <v>4.1399999999999997</v>
      </c>
      <c r="K543" s="4">
        <v>2</v>
      </c>
    </row>
    <row r="544" spans="1:11" x14ac:dyDescent="0.3">
      <c r="A544" s="4">
        <v>543</v>
      </c>
      <c r="B544" t="s">
        <v>7</v>
      </c>
      <c r="C544" s="1">
        <v>43218</v>
      </c>
      <c r="D544" s="1"/>
      <c r="E544" t="s">
        <v>8</v>
      </c>
      <c r="F544" s="11">
        <f ca="1">IF(HR[[#This Row],[ Employee Status]]="exited",HR[[#This Row],[ExitDate]]-HR[[#This Row],[HireDate]],TODAY()-HR[[#This Row],[HireDate]])/365</f>
        <v>8.1972602739726028</v>
      </c>
      <c r="G544" s="4" t="str">
        <f>IF(HR[[#This Row],[ Employee Status]]="still working","",YEAR(HR[[#This Row],[ExitDate]]))</f>
        <v/>
      </c>
      <c r="H544" s="6">
        <v>9305</v>
      </c>
      <c r="I544" s="10">
        <v>4.2699999999999996</v>
      </c>
      <c r="J544" s="10">
        <v>2.1800000000000002</v>
      </c>
      <c r="K544" s="4">
        <v>15</v>
      </c>
    </row>
    <row r="545" spans="1:11" x14ac:dyDescent="0.3">
      <c r="A545" s="4">
        <v>544</v>
      </c>
      <c r="B545" t="s">
        <v>13</v>
      </c>
      <c r="C545" s="1">
        <v>44579</v>
      </c>
      <c r="D545" s="1"/>
      <c r="E545" t="s">
        <v>8</v>
      </c>
      <c r="F545" s="11">
        <f ca="1">IF(HR[[#This Row],[ Employee Status]]="exited",HR[[#This Row],[ExitDate]]-HR[[#This Row],[HireDate]],TODAY()-HR[[#This Row],[HireDate]])/365</f>
        <v>4.4684931506849317</v>
      </c>
      <c r="G545" s="4" t="str">
        <f>IF(HR[[#This Row],[ Employee Status]]="still working","",YEAR(HR[[#This Row],[ExitDate]]))</f>
        <v/>
      </c>
      <c r="H545" s="6">
        <v>12461</v>
      </c>
      <c r="I545" s="10">
        <v>3.03</v>
      </c>
      <c r="J545" s="10">
        <v>2.72</v>
      </c>
      <c r="K545" s="4">
        <v>16</v>
      </c>
    </row>
    <row r="546" spans="1:11" x14ac:dyDescent="0.3">
      <c r="A546" s="4">
        <v>545</v>
      </c>
      <c r="B546" t="s">
        <v>7</v>
      </c>
      <c r="C546" s="1">
        <v>44334</v>
      </c>
      <c r="D546" s="1">
        <v>45530</v>
      </c>
      <c r="E546" t="s">
        <v>12</v>
      </c>
      <c r="F546" s="11">
        <f ca="1">IF(HR[[#This Row],[ Employee Status]]="exited",HR[[#This Row],[ExitDate]]-HR[[#This Row],[HireDate]],TODAY()-HR[[#This Row],[HireDate]])/365</f>
        <v>3.2767123287671232</v>
      </c>
      <c r="G546" s="4">
        <f>IF(HR[[#This Row],[ Employee Status]]="still working","",YEAR(HR[[#This Row],[ExitDate]]))</f>
        <v>2024</v>
      </c>
      <c r="H546" s="6">
        <v>9589</v>
      </c>
      <c r="I546" s="10">
        <v>4.05</v>
      </c>
      <c r="J546" s="10">
        <v>4.8</v>
      </c>
      <c r="K546" s="4">
        <v>13</v>
      </c>
    </row>
    <row r="547" spans="1:11" x14ac:dyDescent="0.3">
      <c r="A547" s="4">
        <v>546</v>
      </c>
      <c r="B547" t="s">
        <v>11</v>
      </c>
      <c r="C547" s="1">
        <v>44870</v>
      </c>
      <c r="D547" s="1"/>
      <c r="E547" t="s">
        <v>8</v>
      </c>
      <c r="F547" s="11">
        <f ca="1">IF(HR[[#This Row],[ Employee Status]]="exited",HR[[#This Row],[ExitDate]]-HR[[#This Row],[HireDate]],TODAY()-HR[[#This Row],[HireDate]])/365</f>
        <v>3.6712328767123288</v>
      </c>
      <c r="G547" s="4" t="str">
        <f>IF(HR[[#This Row],[ Employee Status]]="still working","",YEAR(HR[[#This Row],[ExitDate]]))</f>
        <v/>
      </c>
      <c r="H547" s="6">
        <v>10192</v>
      </c>
      <c r="I547" s="10">
        <v>3.64</v>
      </c>
      <c r="J547" s="10">
        <v>4.6100000000000003</v>
      </c>
      <c r="K547" s="4">
        <v>15</v>
      </c>
    </row>
    <row r="548" spans="1:11" x14ac:dyDescent="0.3">
      <c r="A548" s="4">
        <v>547</v>
      </c>
      <c r="B548" t="s">
        <v>9</v>
      </c>
      <c r="C548" s="1">
        <v>43166</v>
      </c>
      <c r="D548" s="1"/>
      <c r="E548" t="s">
        <v>8</v>
      </c>
      <c r="F548" s="11">
        <f ca="1">IF(HR[[#This Row],[ Employee Status]]="exited",HR[[#This Row],[ExitDate]]-HR[[#This Row],[HireDate]],TODAY()-HR[[#This Row],[HireDate]])/365</f>
        <v>8.3397260273972602</v>
      </c>
      <c r="G548" s="4" t="str">
        <f>IF(HR[[#This Row],[ Employee Status]]="still working","",YEAR(HR[[#This Row],[ExitDate]]))</f>
        <v/>
      </c>
      <c r="H548" s="6">
        <v>3090</v>
      </c>
      <c r="I548" s="10">
        <v>3.7</v>
      </c>
      <c r="J548" s="10">
        <v>3.63</v>
      </c>
      <c r="K548" s="4">
        <v>2</v>
      </c>
    </row>
    <row r="549" spans="1:11" x14ac:dyDescent="0.3">
      <c r="A549" s="4">
        <v>548</v>
      </c>
      <c r="B549" t="s">
        <v>10</v>
      </c>
      <c r="C549" s="1">
        <v>45275</v>
      </c>
      <c r="D549" s="1"/>
      <c r="E549" t="s">
        <v>8</v>
      </c>
      <c r="F549" s="11">
        <f ca="1">IF(HR[[#This Row],[ Employee Status]]="exited",HR[[#This Row],[ExitDate]]-HR[[#This Row],[HireDate]],TODAY()-HR[[#This Row],[HireDate]])/365</f>
        <v>2.5616438356164384</v>
      </c>
      <c r="G549" s="4" t="str">
        <f>IF(HR[[#This Row],[ Employee Status]]="still working","",YEAR(HR[[#This Row],[ExitDate]]))</f>
        <v/>
      </c>
      <c r="H549" s="6">
        <v>7440</v>
      </c>
      <c r="I549" s="10">
        <v>2.76</v>
      </c>
      <c r="J549" s="10">
        <v>4.12</v>
      </c>
      <c r="K549" s="4">
        <v>25</v>
      </c>
    </row>
    <row r="550" spans="1:11" x14ac:dyDescent="0.3">
      <c r="A550" s="4">
        <v>549</v>
      </c>
      <c r="B550" t="s">
        <v>7</v>
      </c>
      <c r="C550" s="1">
        <v>44588</v>
      </c>
      <c r="D550" s="1"/>
      <c r="E550" t="s">
        <v>8</v>
      </c>
      <c r="F550" s="11">
        <f ca="1">IF(HR[[#This Row],[ Employee Status]]="exited",HR[[#This Row],[ExitDate]]-HR[[#This Row],[HireDate]],TODAY()-HR[[#This Row],[HireDate]])/365</f>
        <v>4.4438356164383563</v>
      </c>
      <c r="G550" s="4" t="str">
        <f>IF(HR[[#This Row],[ Employee Status]]="still working","",YEAR(HR[[#This Row],[ExitDate]]))</f>
        <v/>
      </c>
      <c r="H550" s="6">
        <v>7538</v>
      </c>
      <c r="I550" s="10">
        <v>2.2000000000000002</v>
      </c>
      <c r="J550" s="10">
        <v>3.38</v>
      </c>
      <c r="K550" s="4">
        <v>0</v>
      </c>
    </row>
    <row r="551" spans="1:11" x14ac:dyDescent="0.3">
      <c r="A551" s="4">
        <v>550</v>
      </c>
      <c r="B551" t="s">
        <v>14</v>
      </c>
      <c r="C551" s="1">
        <v>44446</v>
      </c>
      <c r="D551" s="1"/>
      <c r="E551" t="s">
        <v>8</v>
      </c>
      <c r="F551" s="11">
        <f ca="1">IF(HR[[#This Row],[ Employee Status]]="exited",HR[[#This Row],[ExitDate]]-HR[[#This Row],[HireDate]],TODAY()-HR[[#This Row],[HireDate]])/365</f>
        <v>4.8328767123287673</v>
      </c>
      <c r="G551" s="4" t="str">
        <f>IF(HR[[#This Row],[ Employee Status]]="still working","",YEAR(HR[[#This Row],[ExitDate]]))</f>
        <v/>
      </c>
      <c r="H551" s="6">
        <v>8898</v>
      </c>
      <c r="I551" s="10">
        <v>2.52</v>
      </c>
      <c r="J551" s="10">
        <v>3.27</v>
      </c>
      <c r="K551" s="4">
        <v>28</v>
      </c>
    </row>
    <row r="552" spans="1:11" x14ac:dyDescent="0.3">
      <c r="A552" s="4">
        <v>551</v>
      </c>
      <c r="B552" t="s">
        <v>9</v>
      </c>
      <c r="C552" s="1">
        <v>43684</v>
      </c>
      <c r="D552" s="1"/>
      <c r="E552" t="s">
        <v>8</v>
      </c>
      <c r="F552" s="11">
        <f ca="1">IF(HR[[#This Row],[ Employee Status]]="exited",HR[[#This Row],[ExitDate]]-HR[[#This Row],[HireDate]],TODAY()-HR[[#This Row],[HireDate]])/365</f>
        <v>6.9205479452054792</v>
      </c>
      <c r="G552" s="4" t="str">
        <f>IF(HR[[#This Row],[ Employee Status]]="still working","",YEAR(HR[[#This Row],[ExitDate]]))</f>
        <v/>
      </c>
      <c r="H552" s="6">
        <v>6961</v>
      </c>
      <c r="I552" s="10">
        <v>4.3499999999999996</v>
      </c>
      <c r="J552" s="10">
        <v>1.96</v>
      </c>
      <c r="K552" s="4">
        <v>1</v>
      </c>
    </row>
    <row r="553" spans="1:11" x14ac:dyDescent="0.3">
      <c r="A553" s="4">
        <v>552</v>
      </c>
      <c r="B553" t="s">
        <v>9</v>
      </c>
      <c r="C553" s="1">
        <v>45498</v>
      </c>
      <c r="D553" s="1"/>
      <c r="E553" t="s">
        <v>8</v>
      </c>
      <c r="F553" s="11">
        <f ca="1">IF(HR[[#This Row],[ Employee Status]]="exited",HR[[#This Row],[ExitDate]]-HR[[#This Row],[HireDate]],TODAY()-HR[[#This Row],[HireDate]])/365</f>
        <v>1.9506849315068493</v>
      </c>
      <c r="G553" s="4" t="str">
        <f>IF(HR[[#This Row],[ Employee Status]]="still working","",YEAR(HR[[#This Row],[ExitDate]]))</f>
        <v/>
      </c>
      <c r="H553" s="6">
        <v>10000</v>
      </c>
      <c r="I553" s="10">
        <v>2.68</v>
      </c>
      <c r="J553" s="10">
        <v>3.46</v>
      </c>
      <c r="K553" s="4">
        <v>0</v>
      </c>
    </row>
    <row r="554" spans="1:11" x14ac:dyDescent="0.3">
      <c r="A554" s="4">
        <v>553</v>
      </c>
      <c r="B554" t="s">
        <v>10</v>
      </c>
      <c r="C554" s="1">
        <v>43957</v>
      </c>
      <c r="D554" s="1"/>
      <c r="E554" t="s">
        <v>8</v>
      </c>
      <c r="F554" s="11">
        <f ca="1">IF(HR[[#This Row],[ Employee Status]]="exited",HR[[#This Row],[ExitDate]]-HR[[#This Row],[HireDate]],TODAY()-HR[[#This Row],[HireDate]])/365</f>
        <v>6.1726027397260275</v>
      </c>
      <c r="G554" s="4" t="str">
        <f>IF(HR[[#This Row],[ Employee Status]]="still working","",YEAR(HR[[#This Row],[ExitDate]]))</f>
        <v/>
      </c>
      <c r="H554" s="6">
        <v>9837</v>
      </c>
      <c r="I554" s="10">
        <v>2.23</v>
      </c>
      <c r="J554" s="10">
        <v>4.58</v>
      </c>
      <c r="K554" s="4">
        <v>15</v>
      </c>
    </row>
    <row r="555" spans="1:11" x14ac:dyDescent="0.3">
      <c r="A555" s="4">
        <v>554</v>
      </c>
      <c r="B555" t="s">
        <v>13</v>
      </c>
      <c r="C555" s="1">
        <v>45273</v>
      </c>
      <c r="D555" s="1"/>
      <c r="E555" t="s">
        <v>8</v>
      </c>
      <c r="F555" s="11">
        <f ca="1">IF(HR[[#This Row],[ Employee Status]]="exited",HR[[#This Row],[ExitDate]]-HR[[#This Row],[HireDate]],TODAY()-HR[[#This Row],[HireDate]])/365</f>
        <v>2.5671232876712327</v>
      </c>
      <c r="G555" s="4" t="str">
        <f>IF(HR[[#This Row],[ Employee Status]]="still working","",YEAR(HR[[#This Row],[ExitDate]]))</f>
        <v/>
      </c>
      <c r="H555" s="6">
        <v>7624</v>
      </c>
      <c r="I555" s="10">
        <v>4.5</v>
      </c>
      <c r="J555" s="10">
        <v>2.4300000000000002</v>
      </c>
      <c r="K555" s="4">
        <v>12</v>
      </c>
    </row>
    <row r="556" spans="1:11" x14ac:dyDescent="0.3">
      <c r="A556" s="4">
        <v>555</v>
      </c>
      <c r="B556" t="s">
        <v>11</v>
      </c>
      <c r="C556" s="1">
        <v>43460</v>
      </c>
      <c r="D556" s="1">
        <v>43682</v>
      </c>
      <c r="E556" t="s">
        <v>12</v>
      </c>
      <c r="F556" s="11">
        <f ca="1">IF(HR[[#This Row],[ Employee Status]]="exited",HR[[#This Row],[ExitDate]]-HR[[#This Row],[HireDate]],TODAY()-HR[[#This Row],[HireDate]])/365</f>
        <v>0.60821917808219184</v>
      </c>
      <c r="G556" s="4">
        <f>IF(HR[[#This Row],[ Employee Status]]="still working","",YEAR(HR[[#This Row],[ExitDate]]))</f>
        <v>2019</v>
      </c>
      <c r="H556" s="6">
        <v>10693</v>
      </c>
      <c r="I556" s="10">
        <v>4.47</v>
      </c>
      <c r="J556" s="10">
        <v>2.54</v>
      </c>
      <c r="K556" s="4">
        <v>16</v>
      </c>
    </row>
    <row r="557" spans="1:11" x14ac:dyDescent="0.3">
      <c r="A557" s="4">
        <v>556</v>
      </c>
      <c r="B557" t="s">
        <v>14</v>
      </c>
      <c r="C557" s="1">
        <v>45249</v>
      </c>
      <c r="D557" s="1"/>
      <c r="E557" t="s">
        <v>8</v>
      </c>
      <c r="F557" s="11">
        <f ca="1">IF(HR[[#This Row],[ Employee Status]]="exited",HR[[#This Row],[ExitDate]]-HR[[#This Row],[HireDate]],TODAY()-HR[[#This Row],[HireDate]])/365</f>
        <v>2.6328767123287671</v>
      </c>
      <c r="G557" s="4" t="str">
        <f>IF(HR[[#This Row],[ Employee Status]]="still working","",YEAR(HR[[#This Row],[ExitDate]]))</f>
        <v/>
      </c>
      <c r="H557" s="6">
        <v>12275</v>
      </c>
      <c r="I557" s="10">
        <v>4.05</v>
      </c>
      <c r="J557" s="10">
        <v>3.13</v>
      </c>
      <c r="K557" s="4">
        <v>25</v>
      </c>
    </row>
    <row r="558" spans="1:11" x14ac:dyDescent="0.3">
      <c r="A558" s="4">
        <v>557</v>
      </c>
      <c r="B558" t="s">
        <v>10</v>
      </c>
      <c r="C558" s="1">
        <v>44023</v>
      </c>
      <c r="D558" s="1">
        <v>44942</v>
      </c>
      <c r="E558" t="s">
        <v>12</v>
      </c>
      <c r="F558" s="11">
        <f ca="1">IF(HR[[#This Row],[ Employee Status]]="exited",HR[[#This Row],[ExitDate]]-HR[[#This Row],[HireDate]],TODAY()-HR[[#This Row],[HireDate]])/365</f>
        <v>2.5178082191780824</v>
      </c>
      <c r="G558" s="4">
        <f>IF(HR[[#This Row],[ Employee Status]]="still working","",YEAR(HR[[#This Row],[ExitDate]]))</f>
        <v>2023</v>
      </c>
      <c r="H558" s="6">
        <v>14795</v>
      </c>
      <c r="I558" s="10">
        <v>3.86</v>
      </c>
      <c r="J558" s="10">
        <v>2.33</v>
      </c>
      <c r="K558" s="4">
        <v>24</v>
      </c>
    </row>
    <row r="559" spans="1:11" x14ac:dyDescent="0.3">
      <c r="A559" s="4">
        <v>558</v>
      </c>
      <c r="B559" t="s">
        <v>7</v>
      </c>
      <c r="C559" s="1">
        <v>44323</v>
      </c>
      <c r="D559" s="1"/>
      <c r="E559" t="s">
        <v>8</v>
      </c>
      <c r="F559" s="11">
        <f ca="1">IF(HR[[#This Row],[ Employee Status]]="exited",HR[[#This Row],[ExitDate]]-HR[[#This Row],[HireDate]],TODAY()-HR[[#This Row],[HireDate]])/365</f>
        <v>5.1698630136986301</v>
      </c>
      <c r="G559" s="4" t="str">
        <f>IF(HR[[#This Row],[ Employee Status]]="still working","",YEAR(HR[[#This Row],[ExitDate]]))</f>
        <v/>
      </c>
      <c r="H559" s="6">
        <v>14142</v>
      </c>
      <c r="I559" s="10">
        <v>3.84</v>
      </c>
      <c r="J559" s="10">
        <v>4.75</v>
      </c>
      <c r="K559" s="4">
        <v>11</v>
      </c>
    </row>
    <row r="560" spans="1:11" x14ac:dyDescent="0.3">
      <c r="A560" s="4">
        <v>559</v>
      </c>
      <c r="B560" t="s">
        <v>14</v>
      </c>
      <c r="C560" s="1">
        <v>45582</v>
      </c>
      <c r="D560" s="1"/>
      <c r="E560" t="s">
        <v>8</v>
      </c>
      <c r="F560" s="11">
        <f ca="1">IF(HR[[#This Row],[ Employee Status]]="exited",HR[[#This Row],[ExitDate]]-HR[[#This Row],[HireDate]],TODAY()-HR[[#This Row],[HireDate]])/365</f>
        <v>1.7205479452054795</v>
      </c>
      <c r="G560" s="4" t="str">
        <f>IF(HR[[#This Row],[ Employee Status]]="still working","",YEAR(HR[[#This Row],[ExitDate]]))</f>
        <v/>
      </c>
      <c r="H560" s="6">
        <v>13130</v>
      </c>
      <c r="I560" s="10">
        <v>4.82</v>
      </c>
      <c r="J560" s="10">
        <v>1.19</v>
      </c>
      <c r="K560" s="4">
        <v>23</v>
      </c>
    </row>
    <row r="561" spans="1:11" x14ac:dyDescent="0.3">
      <c r="A561" s="4">
        <v>560</v>
      </c>
      <c r="B561" t="s">
        <v>13</v>
      </c>
      <c r="C561" s="1">
        <v>44328</v>
      </c>
      <c r="D561" s="1"/>
      <c r="E561" t="s">
        <v>8</v>
      </c>
      <c r="F561" s="11">
        <f ca="1">IF(HR[[#This Row],[ Employee Status]]="exited",HR[[#This Row],[ExitDate]]-HR[[#This Row],[HireDate]],TODAY()-HR[[#This Row],[HireDate]])/365</f>
        <v>5.1561643835616442</v>
      </c>
      <c r="G561" s="4" t="str">
        <f>IF(HR[[#This Row],[ Employee Status]]="still working","",YEAR(HR[[#This Row],[ExitDate]]))</f>
        <v/>
      </c>
      <c r="H561" s="6">
        <v>14590</v>
      </c>
      <c r="I561" s="10">
        <v>3.06</v>
      </c>
      <c r="J561" s="10">
        <v>2.65</v>
      </c>
      <c r="K561" s="4">
        <v>25</v>
      </c>
    </row>
    <row r="562" spans="1:11" x14ac:dyDescent="0.3">
      <c r="A562" s="4">
        <v>561</v>
      </c>
      <c r="B562" t="s">
        <v>7</v>
      </c>
      <c r="C562" s="1">
        <v>43826</v>
      </c>
      <c r="D562" s="1"/>
      <c r="E562" t="s">
        <v>8</v>
      </c>
      <c r="F562" s="11">
        <f ca="1">IF(HR[[#This Row],[ Employee Status]]="exited",HR[[#This Row],[ExitDate]]-HR[[#This Row],[HireDate]],TODAY()-HR[[#This Row],[HireDate]])/365</f>
        <v>6.5315068493150683</v>
      </c>
      <c r="G562" s="4" t="str">
        <f>IF(HR[[#This Row],[ Employee Status]]="still working","",YEAR(HR[[#This Row],[ExitDate]]))</f>
        <v/>
      </c>
      <c r="H562" s="6">
        <v>10023</v>
      </c>
      <c r="I562" s="10">
        <v>3.67</v>
      </c>
      <c r="J562" s="10">
        <v>1.1200000000000001</v>
      </c>
      <c r="K562" s="4">
        <v>15</v>
      </c>
    </row>
    <row r="563" spans="1:11" x14ac:dyDescent="0.3">
      <c r="A563" s="4">
        <v>562</v>
      </c>
      <c r="B563" t="s">
        <v>7</v>
      </c>
      <c r="C563" s="1">
        <v>44668</v>
      </c>
      <c r="D563" s="1"/>
      <c r="E563" t="s">
        <v>8</v>
      </c>
      <c r="F563" s="11">
        <f ca="1">IF(HR[[#This Row],[ Employee Status]]="exited",HR[[#This Row],[ExitDate]]-HR[[#This Row],[HireDate]],TODAY()-HR[[#This Row],[HireDate]])/365</f>
        <v>4.2246575342465755</v>
      </c>
      <c r="G563" s="4" t="str">
        <f>IF(HR[[#This Row],[ Employee Status]]="still working","",YEAR(HR[[#This Row],[ExitDate]]))</f>
        <v/>
      </c>
      <c r="H563" s="6">
        <v>12499</v>
      </c>
      <c r="I563" s="10">
        <v>2.29</v>
      </c>
      <c r="J563" s="10">
        <v>2.27</v>
      </c>
      <c r="K563" s="4">
        <v>14</v>
      </c>
    </row>
    <row r="564" spans="1:11" x14ac:dyDescent="0.3">
      <c r="A564" s="4">
        <v>563</v>
      </c>
      <c r="B564" t="s">
        <v>13</v>
      </c>
      <c r="C564" s="1">
        <v>44946</v>
      </c>
      <c r="D564" s="1"/>
      <c r="E564" t="s">
        <v>8</v>
      </c>
      <c r="F564" s="11">
        <f ca="1">IF(HR[[#This Row],[ Employee Status]]="exited",HR[[#This Row],[ExitDate]]-HR[[#This Row],[HireDate]],TODAY()-HR[[#This Row],[HireDate]])/365</f>
        <v>3.463013698630137</v>
      </c>
      <c r="G564" s="4" t="str">
        <f>IF(HR[[#This Row],[ Employee Status]]="still working","",YEAR(HR[[#This Row],[ExitDate]]))</f>
        <v/>
      </c>
      <c r="H564" s="6">
        <v>6558</v>
      </c>
      <c r="I564" s="10">
        <v>4.8</v>
      </c>
      <c r="J564" s="10">
        <v>4.67</v>
      </c>
      <c r="K564" s="4">
        <v>9</v>
      </c>
    </row>
    <row r="565" spans="1:11" x14ac:dyDescent="0.3">
      <c r="A565" s="4">
        <v>564</v>
      </c>
      <c r="B565" t="s">
        <v>14</v>
      </c>
      <c r="C565" s="1">
        <v>44824</v>
      </c>
      <c r="D565" s="1"/>
      <c r="E565" t="s">
        <v>8</v>
      </c>
      <c r="F565" s="11">
        <f ca="1">IF(HR[[#This Row],[ Employee Status]]="exited",HR[[#This Row],[ExitDate]]-HR[[#This Row],[HireDate]],TODAY()-HR[[#This Row],[HireDate]])/365</f>
        <v>3.7972602739726029</v>
      </c>
      <c r="G565" s="4" t="str">
        <f>IF(HR[[#This Row],[ Employee Status]]="still working","",YEAR(HR[[#This Row],[ExitDate]]))</f>
        <v/>
      </c>
      <c r="H565" s="6">
        <v>5845</v>
      </c>
      <c r="I565" s="10">
        <v>4.03</v>
      </c>
      <c r="J565" s="10">
        <v>2.71</v>
      </c>
      <c r="K565" s="4">
        <v>27</v>
      </c>
    </row>
    <row r="566" spans="1:11" x14ac:dyDescent="0.3">
      <c r="A566" s="4">
        <v>565</v>
      </c>
      <c r="B566" t="s">
        <v>11</v>
      </c>
      <c r="C566" s="1">
        <v>44505</v>
      </c>
      <c r="D566" s="1"/>
      <c r="E566" t="s">
        <v>8</v>
      </c>
      <c r="F566" s="11">
        <f ca="1">IF(HR[[#This Row],[ Employee Status]]="exited",HR[[#This Row],[ExitDate]]-HR[[#This Row],[HireDate]],TODAY()-HR[[#This Row],[HireDate]])/365</f>
        <v>4.6712328767123283</v>
      </c>
      <c r="G566" s="4" t="str">
        <f>IF(HR[[#This Row],[ Employee Status]]="still working","",YEAR(HR[[#This Row],[ExitDate]]))</f>
        <v/>
      </c>
      <c r="H566" s="6">
        <v>9316</v>
      </c>
      <c r="I566" s="10">
        <v>4.83</v>
      </c>
      <c r="J566" s="10">
        <v>1.95</v>
      </c>
      <c r="K566" s="4">
        <v>11</v>
      </c>
    </row>
    <row r="567" spans="1:11" x14ac:dyDescent="0.3">
      <c r="A567" s="4">
        <v>566</v>
      </c>
      <c r="B567" t="s">
        <v>11</v>
      </c>
      <c r="C567" s="1">
        <v>43635</v>
      </c>
      <c r="D567" s="1"/>
      <c r="E567" t="s">
        <v>8</v>
      </c>
      <c r="F567" s="11">
        <f ca="1">IF(HR[[#This Row],[ Employee Status]]="exited",HR[[#This Row],[ExitDate]]-HR[[#This Row],[HireDate]],TODAY()-HR[[#This Row],[HireDate]])/365</f>
        <v>7.0547945205479454</v>
      </c>
      <c r="G567" s="4" t="str">
        <f>IF(HR[[#This Row],[ Employee Status]]="still working","",YEAR(HR[[#This Row],[ExitDate]]))</f>
        <v/>
      </c>
      <c r="H567" s="6">
        <v>11479</v>
      </c>
      <c r="I567" s="10">
        <v>3.64</v>
      </c>
      <c r="J567" s="10">
        <v>2.1</v>
      </c>
      <c r="K567" s="4">
        <v>9</v>
      </c>
    </row>
    <row r="568" spans="1:11" x14ac:dyDescent="0.3">
      <c r="A568" s="4">
        <v>567</v>
      </c>
      <c r="B568" t="s">
        <v>14</v>
      </c>
      <c r="C568" s="1">
        <v>44233</v>
      </c>
      <c r="D568" s="1"/>
      <c r="E568" t="s">
        <v>8</v>
      </c>
      <c r="F568" s="11">
        <f ca="1">IF(HR[[#This Row],[ Employee Status]]="exited",HR[[#This Row],[ExitDate]]-HR[[#This Row],[HireDate]],TODAY()-HR[[#This Row],[HireDate]])/365</f>
        <v>5.4164383561643836</v>
      </c>
      <c r="G568" s="4" t="str">
        <f>IF(HR[[#This Row],[ Employee Status]]="still working","",YEAR(HR[[#This Row],[ExitDate]]))</f>
        <v/>
      </c>
      <c r="H568" s="6">
        <v>8960</v>
      </c>
      <c r="I568" s="10">
        <v>4.9000000000000004</v>
      </c>
      <c r="J568" s="10">
        <v>2.58</v>
      </c>
      <c r="K568" s="4">
        <v>8</v>
      </c>
    </row>
    <row r="569" spans="1:11" x14ac:dyDescent="0.3">
      <c r="A569" s="4">
        <v>568</v>
      </c>
      <c r="B569" t="s">
        <v>11</v>
      </c>
      <c r="C569" s="1">
        <v>44613</v>
      </c>
      <c r="D569" s="1"/>
      <c r="E569" t="s">
        <v>8</v>
      </c>
      <c r="F569" s="11">
        <f ca="1">IF(HR[[#This Row],[ Employee Status]]="exited",HR[[#This Row],[ExitDate]]-HR[[#This Row],[HireDate]],TODAY()-HR[[#This Row],[HireDate]])/365</f>
        <v>4.375342465753425</v>
      </c>
      <c r="G569" s="4" t="str">
        <f>IF(HR[[#This Row],[ Employee Status]]="still working","",YEAR(HR[[#This Row],[ExitDate]]))</f>
        <v/>
      </c>
      <c r="H569" s="6">
        <v>13693</v>
      </c>
      <c r="I569" s="10">
        <v>3.15</v>
      </c>
      <c r="J569" s="10">
        <v>3.48</v>
      </c>
      <c r="K569" s="4">
        <v>12</v>
      </c>
    </row>
    <row r="570" spans="1:11" x14ac:dyDescent="0.3">
      <c r="A570" s="4">
        <v>569</v>
      </c>
      <c r="B570" t="s">
        <v>14</v>
      </c>
      <c r="C570" s="1">
        <v>44997</v>
      </c>
      <c r="D570" s="1">
        <v>45203</v>
      </c>
      <c r="E570" t="s">
        <v>12</v>
      </c>
      <c r="F570" s="11">
        <f ca="1">IF(HR[[#This Row],[ Employee Status]]="exited",HR[[#This Row],[ExitDate]]-HR[[#This Row],[HireDate]],TODAY()-HR[[#This Row],[HireDate]])/365</f>
        <v>0.56438356164383563</v>
      </c>
      <c r="G570" s="4">
        <f>IF(HR[[#This Row],[ Employee Status]]="still working","",YEAR(HR[[#This Row],[ExitDate]]))</f>
        <v>2023</v>
      </c>
      <c r="H570" s="6">
        <v>10483</v>
      </c>
      <c r="I570" s="10">
        <v>3.29</v>
      </c>
      <c r="J570" s="10">
        <v>2.2200000000000002</v>
      </c>
      <c r="K570" s="4">
        <v>8</v>
      </c>
    </row>
    <row r="571" spans="1:11" x14ac:dyDescent="0.3">
      <c r="A571" s="4">
        <v>570</v>
      </c>
      <c r="B571" t="s">
        <v>14</v>
      </c>
      <c r="C571" s="1">
        <v>43607</v>
      </c>
      <c r="D571" s="1"/>
      <c r="E571" t="s">
        <v>8</v>
      </c>
      <c r="F571" s="11">
        <f ca="1">IF(HR[[#This Row],[ Employee Status]]="exited",HR[[#This Row],[ExitDate]]-HR[[#This Row],[HireDate]],TODAY()-HR[[#This Row],[HireDate]])/365</f>
        <v>7.1315068493150688</v>
      </c>
      <c r="G571" s="4" t="str">
        <f>IF(HR[[#This Row],[ Employee Status]]="still working","",YEAR(HR[[#This Row],[ExitDate]]))</f>
        <v/>
      </c>
      <c r="H571" s="6">
        <v>3124</v>
      </c>
      <c r="I571" s="10">
        <v>3.64</v>
      </c>
      <c r="J571" s="10">
        <v>2.67</v>
      </c>
      <c r="K571" s="4">
        <v>27</v>
      </c>
    </row>
    <row r="572" spans="1:11" x14ac:dyDescent="0.3">
      <c r="A572" s="4">
        <v>571</v>
      </c>
      <c r="B572" t="s">
        <v>13</v>
      </c>
      <c r="C572" s="1">
        <v>44489</v>
      </c>
      <c r="D572" s="1"/>
      <c r="E572" t="s">
        <v>8</v>
      </c>
      <c r="F572" s="11">
        <f ca="1">IF(HR[[#This Row],[ Employee Status]]="exited",HR[[#This Row],[ExitDate]]-HR[[#This Row],[HireDate]],TODAY()-HR[[#This Row],[HireDate]])/365</f>
        <v>4.7150684931506852</v>
      </c>
      <c r="G572" s="4" t="str">
        <f>IF(HR[[#This Row],[ Employee Status]]="still working","",YEAR(HR[[#This Row],[ExitDate]]))</f>
        <v/>
      </c>
      <c r="H572" s="6">
        <v>4609</v>
      </c>
      <c r="I572" s="10">
        <v>3.18</v>
      </c>
      <c r="J572" s="10">
        <v>1.4</v>
      </c>
      <c r="K572" s="4">
        <v>8</v>
      </c>
    </row>
    <row r="573" spans="1:11" x14ac:dyDescent="0.3">
      <c r="A573" s="4">
        <v>572</v>
      </c>
      <c r="B573" t="s">
        <v>14</v>
      </c>
      <c r="C573" s="1">
        <v>43988</v>
      </c>
      <c r="D573" s="1"/>
      <c r="E573" t="s">
        <v>8</v>
      </c>
      <c r="F573" s="11">
        <f ca="1">IF(HR[[#This Row],[ Employee Status]]="exited",HR[[#This Row],[ExitDate]]-HR[[#This Row],[HireDate]],TODAY()-HR[[#This Row],[HireDate]])/365</f>
        <v>6.087671232876712</v>
      </c>
      <c r="G573" s="4" t="str">
        <f>IF(HR[[#This Row],[ Employee Status]]="still working","",YEAR(HR[[#This Row],[ExitDate]]))</f>
        <v/>
      </c>
      <c r="H573" s="6">
        <v>11307</v>
      </c>
      <c r="I573" s="10">
        <v>2.7</v>
      </c>
      <c r="J573" s="10">
        <v>4.32</v>
      </c>
      <c r="K573" s="4">
        <v>21</v>
      </c>
    </row>
    <row r="574" spans="1:11" x14ac:dyDescent="0.3">
      <c r="A574" s="4">
        <v>573</v>
      </c>
      <c r="B574" t="s">
        <v>13</v>
      </c>
      <c r="C574" s="1">
        <v>43707</v>
      </c>
      <c r="D574" s="1">
        <v>44922</v>
      </c>
      <c r="E574" t="s">
        <v>12</v>
      </c>
      <c r="F574" s="11">
        <f ca="1">IF(HR[[#This Row],[ Employee Status]]="exited",HR[[#This Row],[ExitDate]]-HR[[#This Row],[HireDate]],TODAY()-HR[[#This Row],[HireDate]])/365</f>
        <v>3.3287671232876712</v>
      </c>
      <c r="G574" s="4">
        <f>IF(HR[[#This Row],[ Employee Status]]="still working","",YEAR(HR[[#This Row],[ExitDate]]))</f>
        <v>2022</v>
      </c>
      <c r="H574" s="6">
        <v>5941</v>
      </c>
      <c r="I574" s="10">
        <v>3.26</v>
      </c>
      <c r="J574" s="10">
        <v>1.2</v>
      </c>
      <c r="K574" s="4">
        <v>10</v>
      </c>
    </row>
    <row r="575" spans="1:11" x14ac:dyDescent="0.3">
      <c r="A575" s="4">
        <v>574</v>
      </c>
      <c r="B575" t="s">
        <v>14</v>
      </c>
      <c r="C575" s="1">
        <v>43813</v>
      </c>
      <c r="D575" s="1"/>
      <c r="E575" t="s">
        <v>8</v>
      </c>
      <c r="F575" s="11">
        <f ca="1">IF(HR[[#This Row],[ Employee Status]]="exited",HR[[#This Row],[ExitDate]]-HR[[#This Row],[HireDate]],TODAY()-HR[[#This Row],[HireDate]])/365</f>
        <v>6.5671232876712331</v>
      </c>
      <c r="G575" s="4" t="str">
        <f>IF(HR[[#This Row],[ Employee Status]]="still working","",YEAR(HR[[#This Row],[ExitDate]]))</f>
        <v/>
      </c>
      <c r="H575" s="6">
        <v>4553</v>
      </c>
      <c r="I575" s="10">
        <v>4.84</v>
      </c>
      <c r="J575" s="10">
        <v>4.13</v>
      </c>
      <c r="K575" s="4">
        <v>10</v>
      </c>
    </row>
    <row r="576" spans="1:11" x14ac:dyDescent="0.3">
      <c r="A576" s="4">
        <v>575</v>
      </c>
      <c r="B576" t="s">
        <v>10</v>
      </c>
      <c r="C576" s="1">
        <v>44509</v>
      </c>
      <c r="D576" s="1"/>
      <c r="E576" t="s">
        <v>8</v>
      </c>
      <c r="F576" s="11">
        <f ca="1">IF(HR[[#This Row],[ Employee Status]]="exited",HR[[#This Row],[ExitDate]]-HR[[#This Row],[HireDate]],TODAY()-HR[[#This Row],[HireDate]])/365</f>
        <v>4.6602739726027398</v>
      </c>
      <c r="G576" s="4" t="str">
        <f>IF(HR[[#This Row],[ Employee Status]]="still working","",YEAR(HR[[#This Row],[ExitDate]]))</f>
        <v/>
      </c>
      <c r="H576" s="6">
        <v>3075</v>
      </c>
      <c r="I576" s="10">
        <v>2.02</v>
      </c>
      <c r="J576" s="10">
        <v>1.25</v>
      </c>
      <c r="K576" s="4">
        <v>26</v>
      </c>
    </row>
    <row r="577" spans="1:11" x14ac:dyDescent="0.3">
      <c r="A577" s="4">
        <v>576</v>
      </c>
      <c r="B577" t="s">
        <v>11</v>
      </c>
      <c r="C577" s="1">
        <v>43219</v>
      </c>
      <c r="D577" s="1"/>
      <c r="E577" t="s">
        <v>8</v>
      </c>
      <c r="F577" s="11">
        <f ca="1">IF(HR[[#This Row],[ Employee Status]]="exited",HR[[#This Row],[ExitDate]]-HR[[#This Row],[HireDate]],TODAY()-HR[[#This Row],[HireDate]])/365</f>
        <v>8.1945205479452063</v>
      </c>
      <c r="G577" s="4" t="str">
        <f>IF(HR[[#This Row],[ Employee Status]]="still working","",YEAR(HR[[#This Row],[ExitDate]]))</f>
        <v/>
      </c>
      <c r="H577" s="6">
        <v>7670</v>
      </c>
      <c r="I577" s="10">
        <v>4.5</v>
      </c>
      <c r="J577" s="10">
        <v>4.22</v>
      </c>
      <c r="K577" s="4">
        <v>28</v>
      </c>
    </row>
    <row r="578" spans="1:11" x14ac:dyDescent="0.3">
      <c r="A578" s="4">
        <v>577</v>
      </c>
      <c r="B578" t="s">
        <v>9</v>
      </c>
      <c r="C578" s="1">
        <v>44658</v>
      </c>
      <c r="D578" s="1"/>
      <c r="E578" t="s">
        <v>8</v>
      </c>
      <c r="F578" s="11">
        <f ca="1">IF(HR[[#This Row],[ Employee Status]]="exited",HR[[#This Row],[ExitDate]]-HR[[#This Row],[HireDate]],TODAY()-HR[[#This Row],[HireDate]])/365</f>
        <v>4.2520547945205482</v>
      </c>
      <c r="G578" s="4" t="str">
        <f>IF(HR[[#This Row],[ Employee Status]]="still working","",YEAR(HR[[#This Row],[ExitDate]]))</f>
        <v/>
      </c>
      <c r="H578" s="6">
        <v>14220</v>
      </c>
      <c r="I578" s="10">
        <v>2.58</v>
      </c>
      <c r="J578" s="10">
        <v>1.2</v>
      </c>
      <c r="K578" s="4">
        <v>14</v>
      </c>
    </row>
    <row r="579" spans="1:11" x14ac:dyDescent="0.3">
      <c r="A579" s="4">
        <v>578</v>
      </c>
      <c r="B579" t="s">
        <v>11</v>
      </c>
      <c r="C579" s="1">
        <v>44694</v>
      </c>
      <c r="D579" s="1">
        <v>44969</v>
      </c>
      <c r="E579" t="s">
        <v>12</v>
      </c>
      <c r="F579" s="11">
        <f ca="1">IF(HR[[#This Row],[ Employee Status]]="exited",HR[[#This Row],[ExitDate]]-HR[[#This Row],[HireDate]],TODAY()-HR[[#This Row],[HireDate]])/365</f>
        <v>0.75342465753424659</v>
      </c>
      <c r="G579" s="4">
        <f>IF(HR[[#This Row],[ Employee Status]]="still working","",YEAR(HR[[#This Row],[ExitDate]]))</f>
        <v>2023</v>
      </c>
      <c r="H579" s="6">
        <v>14926</v>
      </c>
      <c r="I579" s="10">
        <v>2.15</v>
      </c>
      <c r="J579" s="10">
        <v>2.97</v>
      </c>
      <c r="K579" s="4">
        <v>4</v>
      </c>
    </row>
    <row r="580" spans="1:11" x14ac:dyDescent="0.3">
      <c r="A580" s="4">
        <v>579</v>
      </c>
      <c r="B580" t="s">
        <v>9</v>
      </c>
      <c r="C580" s="1">
        <v>43700</v>
      </c>
      <c r="D580" s="1"/>
      <c r="E580" t="s">
        <v>8</v>
      </c>
      <c r="F580" s="11">
        <f ca="1">IF(HR[[#This Row],[ Employee Status]]="exited",HR[[#This Row],[ExitDate]]-HR[[#This Row],[HireDate]],TODAY()-HR[[#This Row],[HireDate]])/365</f>
        <v>6.8767123287671232</v>
      </c>
      <c r="G580" s="4" t="str">
        <f>IF(HR[[#This Row],[ Employee Status]]="still working","",YEAR(HR[[#This Row],[ExitDate]]))</f>
        <v/>
      </c>
      <c r="H580" s="6">
        <v>8555</v>
      </c>
      <c r="I580" s="10">
        <v>4.42</v>
      </c>
      <c r="J580" s="10">
        <v>4.04</v>
      </c>
      <c r="K580" s="4">
        <v>19</v>
      </c>
    </row>
    <row r="581" spans="1:11" x14ac:dyDescent="0.3">
      <c r="A581" s="4">
        <v>580</v>
      </c>
      <c r="B581" t="s">
        <v>13</v>
      </c>
      <c r="C581" s="1">
        <v>43956</v>
      </c>
      <c r="D581" s="1"/>
      <c r="E581" t="s">
        <v>8</v>
      </c>
      <c r="F581" s="11">
        <f ca="1">IF(HR[[#This Row],[ Employee Status]]="exited",HR[[#This Row],[ExitDate]]-HR[[#This Row],[HireDate]],TODAY()-HR[[#This Row],[HireDate]])/365</f>
        <v>6.1753424657534248</v>
      </c>
      <c r="G581" s="4" t="str">
        <f>IF(HR[[#This Row],[ Employee Status]]="still working","",YEAR(HR[[#This Row],[ExitDate]]))</f>
        <v/>
      </c>
      <c r="H581" s="6">
        <v>7933</v>
      </c>
      <c r="I581" s="10">
        <v>2.38</v>
      </c>
      <c r="J581" s="10">
        <v>1.69</v>
      </c>
      <c r="K581" s="4">
        <v>21</v>
      </c>
    </row>
    <row r="582" spans="1:11" x14ac:dyDescent="0.3">
      <c r="A582" s="4">
        <v>581</v>
      </c>
      <c r="B582" t="s">
        <v>7</v>
      </c>
      <c r="C582" s="1">
        <v>44699</v>
      </c>
      <c r="D582" s="1"/>
      <c r="E582" t="s">
        <v>8</v>
      </c>
      <c r="F582" s="11">
        <f ca="1">IF(HR[[#This Row],[ Employee Status]]="exited",HR[[#This Row],[ExitDate]]-HR[[#This Row],[HireDate]],TODAY()-HR[[#This Row],[HireDate]])/365</f>
        <v>4.13972602739726</v>
      </c>
      <c r="G582" s="4" t="str">
        <f>IF(HR[[#This Row],[ Employee Status]]="still working","",YEAR(HR[[#This Row],[ExitDate]]))</f>
        <v/>
      </c>
      <c r="H582" s="6">
        <v>4810</v>
      </c>
      <c r="I582" s="10">
        <v>3.92</v>
      </c>
      <c r="J582" s="10">
        <v>2.04</v>
      </c>
      <c r="K582" s="4">
        <v>21</v>
      </c>
    </row>
    <row r="583" spans="1:11" x14ac:dyDescent="0.3">
      <c r="A583" s="4">
        <v>582</v>
      </c>
      <c r="B583" t="s">
        <v>9</v>
      </c>
      <c r="C583" s="1">
        <v>43300</v>
      </c>
      <c r="D583" s="1"/>
      <c r="E583" t="s">
        <v>8</v>
      </c>
      <c r="F583" s="11">
        <f ca="1">IF(HR[[#This Row],[ Employee Status]]="exited",HR[[#This Row],[ExitDate]]-HR[[#This Row],[HireDate]],TODAY()-HR[[#This Row],[HireDate]])/365</f>
        <v>7.9726027397260273</v>
      </c>
      <c r="G583" s="4" t="str">
        <f>IF(HR[[#This Row],[ Employee Status]]="still working","",YEAR(HR[[#This Row],[ExitDate]]))</f>
        <v/>
      </c>
      <c r="H583" s="6">
        <v>10910</v>
      </c>
      <c r="I583" s="10">
        <v>4.63</v>
      </c>
      <c r="J583" s="10">
        <v>4.16</v>
      </c>
      <c r="K583" s="4">
        <v>19</v>
      </c>
    </row>
    <row r="584" spans="1:11" x14ac:dyDescent="0.3">
      <c r="A584" s="4">
        <v>583</v>
      </c>
      <c r="B584" t="s">
        <v>9</v>
      </c>
      <c r="C584" s="1">
        <v>43157</v>
      </c>
      <c r="D584" s="1"/>
      <c r="E584" t="s">
        <v>8</v>
      </c>
      <c r="F584" s="11">
        <f ca="1">IF(HR[[#This Row],[ Employee Status]]="exited",HR[[#This Row],[ExitDate]]-HR[[#This Row],[HireDate]],TODAY()-HR[[#This Row],[HireDate]])/365</f>
        <v>8.3643835616438356</v>
      </c>
      <c r="G584" s="4" t="str">
        <f>IF(HR[[#This Row],[ Employee Status]]="still working","",YEAR(HR[[#This Row],[ExitDate]]))</f>
        <v/>
      </c>
      <c r="H584" s="6">
        <v>6121</v>
      </c>
      <c r="I584" s="10">
        <v>4.21</v>
      </c>
      <c r="J584" s="10">
        <v>2.44</v>
      </c>
      <c r="K584" s="4">
        <v>25</v>
      </c>
    </row>
    <row r="585" spans="1:11" x14ac:dyDescent="0.3">
      <c r="A585" s="4">
        <v>584</v>
      </c>
      <c r="B585" t="s">
        <v>9</v>
      </c>
      <c r="C585" s="1">
        <v>44123</v>
      </c>
      <c r="D585" s="1"/>
      <c r="E585" t="s">
        <v>8</v>
      </c>
      <c r="F585" s="11">
        <f ca="1">IF(HR[[#This Row],[ Employee Status]]="exited",HR[[#This Row],[ExitDate]]-HR[[#This Row],[HireDate]],TODAY()-HR[[#This Row],[HireDate]])/365</f>
        <v>5.7178082191780826</v>
      </c>
      <c r="G585" s="4" t="str">
        <f>IF(HR[[#This Row],[ Employee Status]]="still working","",YEAR(HR[[#This Row],[ExitDate]]))</f>
        <v/>
      </c>
      <c r="H585" s="6">
        <v>8929</v>
      </c>
      <c r="I585" s="10">
        <v>2.35</v>
      </c>
      <c r="J585" s="10">
        <v>1.68</v>
      </c>
      <c r="K585" s="4">
        <v>2</v>
      </c>
    </row>
    <row r="586" spans="1:11" x14ac:dyDescent="0.3">
      <c r="A586" s="4">
        <v>585</v>
      </c>
      <c r="B586" t="s">
        <v>7</v>
      </c>
      <c r="C586" s="1">
        <v>43648</v>
      </c>
      <c r="D586" s="1"/>
      <c r="E586" t="s">
        <v>8</v>
      </c>
      <c r="F586" s="11">
        <f ca="1">IF(HR[[#This Row],[ Employee Status]]="exited",HR[[#This Row],[ExitDate]]-HR[[#This Row],[HireDate]],TODAY()-HR[[#This Row],[HireDate]])/365</f>
        <v>7.0191780821917806</v>
      </c>
      <c r="G586" s="4" t="str">
        <f>IF(HR[[#This Row],[ Employee Status]]="still working","",YEAR(HR[[#This Row],[ExitDate]]))</f>
        <v/>
      </c>
      <c r="H586" s="6">
        <v>5462</v>
      </c>
      <c r="I586" s="10">
        <v>3.86</v>
      </c>
      <c r="J586" s="10">
        <v>2.64</v>
      </c>
      <c r="K586" s="4">
        <v>1</v>
      </c>
    </row>
    <row r="587" spans="1:11" x14ac:dyDescent="0.3">
      <c r="A587" s="4">
        <v>586</v>
      </c>
      <c r="B587" t="s">
        <v>13</v>
      </c>
      <c r="C587" s="1">
        <v>44707</v>
      </c>
      <c r="D587" s="1"/>
      <c r="E587" t="s">
        <v>8</v>
      </c>
      <c r="F587" s="11">
        <f ca="1">IF(HR[[#This Row],[ Employee Status]]="exited",HR[[#This Row],[ExitDate]]-HR[[#This Row],[HireDate]],TODAY()-HR[[#This Row],[HireDate]])/365</f>
        <v>4.117808219178082</v>
      </c>
      <c r="G587" s="4" t="str">
        <f>IF(HR[[#This Row],[ Employee Status]]="still working","",YEAR(HR[[#This Row],[ExitDate]]))</f>
        <v/>
      </c>
      <c r="H587" s="6">
        <v>8983</v>
      </c>
      <c r="I587" s="10">
        <v>4.8</v>
      </c>
      <c r="J587" s="10">
        <v>3.76</v>
      </c>
      <c r="K587" s="4">
        <v>0</v>
      </c>
    </row>
    <row r="588" spans="1:11" x14ac:dyDescent="0.3">
      <c r="A588" s="4">
        <v>587</v>
      </c>
      <c r="B588" t="s">
        <v>7</v>
      </c>
      <c r="C588" s="1">
        <v>43494</v>
      </c>
      <c r="D588" s="1"/>
      <c r="E588" t="s">
        <v>8</v>
      </c>
      <c r="F588" s="11">
        <f ca="1">IF(HR[[#This Row],[ Employee Status]]="exited",HR[[#This Row],[ExitDate]]-HR[[#This Row],[HireDate]],TODAY()-HR[[#This Row],[HireDate]])/365</f>
        <v>7.441095890410959</v>
      </c>
      <c r="G588" s="4" t="str">
        <f>IF(HR[[#This Row],[ Employee Status]]="still working","",YEAR(HR[[#This Row],[ExitDate]]))</f>
        <v/>
      </c>
      <c r="H588" s="6">
        <v>13243</v>
      </c>
      <c r="I588" s="10">
        <v>2.76</v>
      </c>
      <c r="J588" s="10">
        <v>2.88</v>
      </c>
      <c r="K588" s="4">
        <v>10</v>
      </c>
    </row>
    <row r="589" spans="1:11" x14ac:dyDescent="0.3">
      <c r="A589" s="4">
        <v>588</v>
      </c>
      <c r="B589" t="s">
        <v>13</v>
      </c>
      <c r="C589" s="1">
        <v>45178</v>
      </c>
      <c r="D589" s="1">
        <v>45822</v>
      </c>
      <c r="E589" t="s">
        <v>12</v>
      </c>
      <c r="F589" s="11">
        <f ca="1">IF(HR[[#This Row],[ Employee Status]]="exited",HR[[#This Row],[ExitDate]]-HR[[#This Row],[HireDate]],TODAY()-HR[[#This Row],[HireDate]])/365</f>
        <v>1.7643835616438357</v>
      </c>
      <c r="G589" s="4">
        <f>IF(HR[[#This Row],[ Employee Status]]="still working","",YEAR(HR[[#This Row],[ExitDate]]))</f>
        <v>2025</v>
      </c>
      <c r="H589" s="6">
        <v>7654</v>
      </c>
      <c r="I589" s="10">
        <v>2.76</v>
      </c>
      <c r="J589" s="10">
        <v>4.46</v>
      </c>
      <c r="K589" s="4">
        <v>11</v>
      </c>
    </row>
    <row r="590" spans="1:11" x14ac:dyDescent="0.3">
      <c r="A590" s="4">
        <v>589</v>
      </c>
      <c r="B590" t="s">
        <v>14</v>
      </c>
      <c r="C590" s="1">
        <v>44529</v>
      </c>
      <c r="D590" s="1"/>
      <c r="E590" t="s">
        <v>8</v>
      </c>
      <c r="F590" s="11">
        <f ca="1">IF(HR[[#This Row],[ Employee Status]]="exited",HR[[#This Row],[ExitDate]]-HR[[#This Row],[HireDate]],TODAY()-HR[[#This Row],[HireDate]])/365</f>
        <v>4.6054794520547944</v>
      </c>
      <c r="G590" s="4" t="str">
        <f>IF(HR[[#This Row],[ Employee Status]]="still working","",YEAR(HR[[#This Row],[ExitDate]]))</f>
        <v/>
      </c>
      <c r="H590" s="6">
        <v>14559</v>
      </c>
      <c r="I590" s="10">
        <v>2.41</v>
      </c>
      <c r="J590" s="10">
        <v>1.61</v>
      </c>
      <c r="K590" s="4">
        <v>26</v>
      </c>
    </row>
    <row r="591" spans="1:11" x14ac:dyDescent="0.3">
      <c r="A591" s="4">
        <v>590</v>
      </c>
      <c r="B591" t="s">
        <v>10</v>
      </c>
      <c r="C591" s="1">
        <v>45079</v>
      </c>
      <c r="D591" s="1"/>
      <c r="E591" t="s">
        <v>8</v>
      </c>
      <c r="F591" s="11">
        <f ca="1">IF(HR[[#This Row],[ Employee Status]]="exited",HR[[#This Row],[ExitDate]]-HR[[#This Row],[HireDate]],TODAY()-HR[[#This Row],[HireDate]])/365</f>
        <v>3.0986301369863014</v>
      </c>
      <c r="G591" s="4" t="str">
        <f>IF(HR[[#This Row],[ Employee Status]]="still working","",YEAR(HR[[#This Row],[ExitDate]]))</f>
        <v/>
      </c>
      <c r="H591" s="6">
        <v>10984</v>
      </c>
      <c r="I591" s="10">
        <v>3.29</v>
      </c>
      <c r="J591" s="10">
        <v>2.1</v>
      </c>
      <c r="K591" s="4">
        <v>24</v>
      </c>
    </row>
    <row r="592" spans="1:11" x14ac:dyDescent="0.3">
      <c r="A592" s="4">
        <v>591</v>
      </c>
      <c r="B592" t="s">
        <v>10</v>
      </c>
      <c r="C592" s="1">
        <v>44824</v>
      </c>
      <c r="D592" s="1"/>
      <c r="E592" t="s">
        <v>8</v>
      </c>
      <c r="F592" s="11">
        <f ca="1">IF(HR[[#This Row],[ Employee Status]]="exited",HR[[#This Row],[ExitDate]]-HR[[#This Row],[HireDate]],TODAY()-HR[[#This Row],[HireDate]])/365</f>
        <v>3.7972602739726029</v>
      </c>
      <c r="G592" s="4" t="str">
        <f>IF(HR[[#This Row],[ Employee Status]]="still working","",YEAR(HR[[#This Row],[ExitDate]]))</f>
        <v/>
      </c>
      <c r="H592" s="6">
        <v>11635</v>
      </c>
      <c r="I592" s="10">
        <v>3.98</v>
      </c>
      <c r="J592" s="10">
        <v>3.61</v>
      </c>
      <c r="K592" s="4">
        <v>14</v>
      </c>
    </row>
    <row r="593" spans="1:11" x14ac:dyDescent="0.3">
      <c r="A593" s="4">
        <v>592</v>
      </c>
      <c r="B593" t="s">
        <v>7</v>
      </c>
      <c r="C593" s="1">
        <v>44971</v>
      </c>
      <c r="D593" s="1"/>
      <c r="E593" t="s">
        <v>8</v>
      </c>
      <c r="F593" s="11">
        <f ca="1">IF(HR[[#This Row],[ Employee Status]]="exited",HR[[#This Row],[ExitDate]]-HR[[#This Row],[HireDate]],TODAY()-HR[[#This Row],[HireDate]])/365</f>
        <v>3.3945205479452056</v>
      </c>
      <c r="G593" s="4" t="str">
        <f>IF(HR[[#This Row],[ Employee Status]]="still working","",YEAR(HR[[#This Row],[ExitDate]]))</f>
        <v/>
      </c>
      <c r="H593" s="6">
        <v>10701</v>
      </c>
      <c r="I593" s="10">
        <v>2.34</v>
      </c>
      <c r="J593" s="10">
        <v>4.99</v>
      </c>
      <c r="K593" s="4">
        <v>25</v>
      </c>
    </row>
    <row r="594" spans="1:11" x14ac:dyDescent="0.3">
      <c r="A594" s="4">
        <v>593</v>
      </c>
      <c r="B594" t="s">
        <v>9</v>
      </c>
      <c r="C594" s="1">
        <v>45392</v>
      </c>
      <c r="D594" s="1"/>
      <c r="E594" t="s">
        <v>8</v>
      </c>
      <c r="F594" s="11">
        <f ca="1">IF(HR[[#This Row],[ Employee Status]]="exited",HR[[#This Row],[ExitDate]]-HR[[#This Row],[HireDate]],TODAY()-HR[[#This Row],[HireDate]])/365</f>
        <v>2.2410958904109588</v>
      </c>
      <c r="G594" s="4" t="str">
        <f>IF(HR[[#This Row],[ Employee Status]]="still working","",YEAR(HR[[#This Row],[ExitDate]]))</f>
        <v/>
      </c>
      <c r="H594" s="6">
        <v>8543</v>
      </c>
      <c r="I594" s="10">
        <v>3.87</v>
      </c>
      <c r="J594" s="10">
        <v>4.2300000000000004</v>
      </c>
      <c r="K594" s="4">
        <v>15</v>
      </c>
    </row>
    <row r="595" spans="1:11" x14ac:dyDescent="0.3">
      <c r="A595" s="4">
        <v>594</v>
      </c>
      <c r="B595" t="s">
        <v>9</v>
      </c>
      <c r="C595" s="1">
        <v>45606</v>
      </c>
      <c r="D595" s="1"/>
      <c r="E595" t="s">
        <v>8</v>
      </c>
      <c r="F595" s="11">
        <f ca="1">IF(HR[[#This Row],[ Employee Status]]="exited",HR[[#This Row],[ExitDate]]-HR[[#This Row],[HireDate]],TODAY()-HR[[#This Row],[HireDate]])/365</f>
        <v>1.6547945205479453</v>
      </c>
      <c r="G595" s="4" t="str">
        <f>IF(HR[[#This Row],[ Employee Status]]="still working","",YEAR(HR[[#This Row],[ExitDate]]))</f>
        <v/>
      </c>
      <c r="H595" s="6">
        <v>7673</v>
      </c>
      <c r="I595" s="10">
        <v>2.52</v>
      </c>
      <c r="J595" s="10">
        <v>2.1800000000000002</v>
      </c>
      <c r="K595" s="4">
        <v>24</v>
      </c>
    </row>
    <row r="596" spans="1:11" x14ac:dyDescent="0.3">
      <c r="A596" s="4">
        <v>595</v>
      </c>
      <c r="B596" t="s">
        <v>7</v>
      </c>
      <c r="C596" s="1">
        <v>45023</v>
      </c>
      <c r="D596" s="1">
        <v>45998</v>
      </c>
      <c r="E596" t="s">
        <v>12</v>
      </c>
      <c r="F596" s="11">
        <f ca="1">IF(HR[[#This Row],[ Employee Status]]="exited",HR[[#This Row],[ExitDate]]-HR[[#This Row],[HireDate]],TODAY()-HR[[#This Row],[HireDate]])/365</f>
        <v>2.6712328767123288</v>
      </c>
      <c r="G596" s="4">
        <f>IF(HR[[#This Row],[ Employee Status]]="still working","",YEAR(HR[[#This Row],[ExitDate]]))</f>
        <v>2025</v>
      </c>
      <c r="H596" s="6">
        <v>11718</v>
      </c>
      <c r="I596" s="10">
        <v>3.69</v>
      </c>
      <c r="J596" s="10">
        <v>3</v>
      </c>
      <c r="K596" s="4">
        <v>9</v>
      </c>
    </row>
    <row r="597" spans="1:11" x14ac:dyDescent="0.3">
      <c r="A597" s="4">
        <v>596</v>
      </c>
      <c r="B597" t="s">
        <v>7</v>
      </c>
      <c r="C597" s="1">
        <v>43755</v>
      </c>
      <c r="D597" s="1"/>
      <c r="E597" t="s">
        <v>8</v>
      </c>
      <c r="F597" s="11">
        <f ca="1">IF(HR[[#This Row],[ Employee Status]]="exited",HR[[#This Row],[ExitDate]]-HR[[#This Row],[HireDate]],TODAY()-HR[[#This Row],[HireDate]])/365</f>
        <v>6.7260273972602738</v>
      </c>
      <c r="G597" s="4" t="str">
        <f>IF(HR[[#This Row],[ Employee Status]]="still working","",YEAR(HR[[#This Row],[ExitDate]]))</f>
        <v/>
      </c>
      <c r="H597" s="6">
        <v>10825</v>
      </c>
      <c r="I597" s="10">
        <v>4.59</v>
      </c>
      <c r="J597" s="10">
        <v>1.6</v>
      </c>
      <c r="K597" s="4">
        <v>5</v>
      </c>
    </row>
    <row r="598" spans="1:11" x14ac:dyDescent="0.3">
      <c r="A598" s="4">
        <v>597</v>
      </c>
      <c r="B598" t="s">
        <v>9</v>
      </c>
      <c r="C598" s="1">
        <v>45032</v>
      </c>
      <c r="D598" s="1"/>
      <c r="E598" t="s">
        <v>8</v>
      </c>
      <c r="F598" s="11">
        <f ca="1">IF(HR[[#This Row],[ Employee Status]]="exited",HR[[#This Row],[ExitDate]]-HR[[#This Row],[HireDate]],TODAY()-HR[[#This Row],[HireDate]])/365</f>
        <v>3.2273972602739724</v>
      </c>
      <c r="G598" s="4" t="str">
        <f>IF(HR[[#This Row],[ Employee Status]]="still working","",YEAR(HR[[#This Row],[ExitDate]]))</f>
        <v/>
      </c>
      <c r="H598" s="6">
        <v>10189</v>
      </c>
      <c r="I598" s="10">
        <v>4.7</v>
      </c>
      <c r="J598" s="10">
        <v>4.17</v>
      </c>
      <c r="K598" s="4">
        <v>0</v>
      </c>
    </row>
    <row r="599" spans="1:11" x14ac:dyDescent="0.3">
      <c r="A599" s="4">
        <v>598</v>
      </c>
      <c r="B599" t="s">
        <v>9</v>
      </c>
      <c r="C599" s="1">
        <v>43918</v>
      </c>
      <c r="D599" s="1">
        <v>45340</v>
      </c>
      <c r="E599" t="s">
        <v>12</v>
      </c>
      <c r="F599" s="11">
        <f ca="1">IF(HR[[#This Row],[ Employee Status]]="exited",HR[[#This Row],[ExitDate]]-HR[[#This Row],[HireDate]],TODAY()-HR[[#This Row],[HireDate]])/365</f>
        <v>3.8958904109589043</v>
      </c>
      <c r="G599" s="4">
        <f>IF(HR[[#This Row],[ Employee Status]]="still working","",YEAR(HR[[#This Row],[ExitDate]]))</f>
        <v>2024</v>
      </c>
      <c r="H599" s="6">
        <v>10697</v>
      </c>
      <c r="I599" s="10">
        <v>4.2699999999999996</v>
      </c>
      <c r="J599" s="10">
        <v>1.33</v>
      </c>
      <c r="K599" s="4">
        <v>4</v>
      </c>
    </row>
    <row r="600" spans="1:11" x14ac:dyDescent="0.3">
      <c r="A600" s="4">
        <v>599</v>
      </c>
      <c r="B600" t="s">
        <v>14</v>
      </c>
      <c r="C600" s="1">
        <v>44799</v>
      </c>
      <c r="D600" s="1"/>
      <c r="E600" t="s">
        <v>8</v>
      </c>
      <c r="F600" s="11">
        <f ca="1">IF(HR[[#This Row],[ Employee Status]]="exited",HR[[#This Row],[ExitDate]]-HR[[#This Row],[HireDate]],TODAY()-HR[[#This Row],[HireDate]])/365</f>
        <v>3.8657534246575342</v>
      </c>
      <c r="G600" s="4" t="str">
        <f>IF(HR[[#This Row],[ Employee Status]]="still working","",YEAR(HR[[#This Row],[ExitDate]]))</f>
        <v/>
      </c>
      <c r="H600" s="6">
        <v>8581</v>
      </c>
      <c r="I600" s="10">
        <v>4.05</v>
      </c>
      <c r="J600" s="10">
        <v>4.6100000000000003</v>
      </c>
      <c r="K600" s="4">
        <v>22</v>
      </c>
    </row>
    <row r="601" spans="1:11" x14ac:dyDescent="0.3">
      <c r="A601" s="4">
        <v>600</v>
      </c>
      <c r="B601" t="s">
        <v>11</v>
      </c>
      <c r="C601" s="1">
        <v>43851</v>
      </c>
      <c r="D601" s="1"/>
      <c r="E601" t="s">
        <v>8</v>
      </c>
      <c r="F601" s="11">
        <f ca="1">IF(HR[[#This Row],[ Employee Status]]="exited",HR[[#This Row],[ExitDate]]-HR[[#This Row],[HireDate]],TODAY()-HR[[#This Row],[HireDate]])/365</f>
        <v>6.463013698630137</v>
      </c>
      <c r="G601" s="4" t="str">
        <f>IF(HR[[#This Row],[ Employee Status]]="still working","",YEAR(HR[[#This Row],[ExitDate]]))</f>
        <v/>
      </c>
      <c r="H601" s="6">
        <v>8919</v>
      </c>
      <c r="I601" s="10">
        <v>3.38</v>
      </c>
      <c r="J601" s="10">
        <v>3</v>
      </c>
      <c r="K601" s="4">
        <v>4</v>
      </c>
    </row>
    <row r="602" spans="1:11" x14ac:dyDescent="0.3">
      <c r="A602" s="4">
        <v>601</v>
      </c>
      <c r="B602" t="s">
        <v>9</v>
      </c>
      <c r="C602" s="1">
        <v>45119</v>
      </c>
      <c r="D602" s="1"/>
      <c r="E602" t="s">
        <v>8</v>
      </c>
      <c r="F602" s="11">
        <f ca="1">IF(HR[[#This Row],[ Employee Status]]="exited",HR[[#This Row],[ExitDate]]-HR[[#This Row],[HireDate]],TODAY()-HR[[#This Row],[HireDate]])/365</f>
        <v>2.989041095890411</v>
      </c>
      <c r="G602" s="4" t="str">
        <f>IF(HR[[#This Row],[ Employee Status]]="still working","",YEAR(HR[[#This Row],[ExitDate]]))</f>
        <v/>
      </c>
      <c r="H602" s="6">
        <v>9998</v>
      </c>
      <c r="I602" s="10">
        <v>2.35</v>
      </c>
      <c r="J602" s="10">
        <v>1</v>
      </c>
      <c r="K602" s="4">
        <v>2</v>
      </c>
    </row>
    <row r="603" spans="1:11" x14ac:dyDescent="0.3">
      <c r="A603" s="4">
        <v>602</v>
      </c>
      <c r="B603" t="s">
        <v>14</v>
      </c>
      <c r="C603" s="1">
        <v>44748</v>
      </c>
      <c r="D603" s="1"/>
      <c r="E603" t="s">
        <v>8</v>
      </c>
      <c r="F603" s="11">
        <f ca="1">IF(HR[[#This Row],[ Employee Status]]="exited",HR[[#This Row],[ExitDate]]-HR[[#This Row],[HireDate]],TODAY()-HR[[#This Row],[HireDate]])/365</f>
        <v>4.0054794520547947</v>
      </c>
      <c r="G603" s="4" t="str">
        <f>IF(HR[[#This Row],[ Employee Status]]="still working","",YEAR(HR[[#This Row],[ExitDate]]))</f>
        <v/>
      </c>
      <c r="H603" s="6">
        <v>8960</v>
      </c>
      <c r="I603" s="10">
        <v>4.55</v>
      </c>
      <c r="J603" s="10">
        <v>4.83</v>
      </c>
      <c r="K603" s="4">
        <v>2</v>
      </c>
    </row>
    <row r="604" spans="1:11" x14ac:dyDescent="0.3">
      <c r="A604" s="4">
        <v>603</v>
      </c>
      <c r="B604" t="s">
        <v>7</v>
      </c>
      <c r="C604" s="1">
        <v>45084</v>
      </c>
      <c r="D604" s="1">
        <v>45375</v>
      </c>
      <c r="E604" t="s">
        <v>12</v>
      </c>
      <c r="F604" s="11">
        <f ca="1">IF(HR[[#This Row],[ Employee Status]]="exited",HR[[#This Row],[ExitDate]]-HR[[#This Row],[HireDate]],TODAY()-HR[[#This Row],[HireDate]])/365</f>
        <v>0.79726027397260268</v>
      </c>
      <c r="G604" s="4">
        <f>IF(HR[[#This Row],[ Employee Status]]="still working","",YEAR(HR[[#This Row],[ExitDate]]))</f>
        <v>2024</v>
      </c>
      <c r="H604" s="6">
        <v>3325</v>
      </c>
      <c r="I604" s="10">
        <v>4</v>
      </c>
      <c r="J604" s="10">
        <v>4.96</v>
      </c>
      <c r="K604" s="4">
        <v>26</v>
      </c>
    </row>
    <row r="605" spans="1:11" x14ac:dyDescent="0.3">
      <c r="A605" s="4">
        <v>604</v>
      </c>
      <c r="B605" t="s">
        <v>13</v>
      </c>
      <c r="C605" s="1">
        <v>44343</v>
      </c>
      <c r="D605" s="1"/>
      <c r="E605" t="s">
        <v>8</v>
      </c>
      <c r="F605" s="11">
        <f ca="1">IF(HR[[#This Row],[ Employee Status]]="exited",HR[[#This Row],[ExitDate]]-HR[[#This Row],[HireDate]],TODAY()-HR[[#This Row],[HireDate]])/365</f>
        <v>5.1150684931506847</v>
      </c>
      <c r="G605" s="4" t="str">
        <f>IF(HR[[#This Row],[ Employee Status]]="still working","",YEAR(HR[[#This Row],[ExitDate]]))</f>
        <v/>
      </c>
      <c r="H605" s="6">
        <v>10754</v>
      </c>
      <c r="I605" s="10">
        <v>3.21</v>
      </c>
      <c r="J605" s="10">
        <v>1.35</v>
      </c>
      <c r="K605" s="4">
        <v>15</v>
      </c>
    </row>
    <row r="606" spans="1:11" x14ac:dyDescent="0.3">
      <c r="A606" s="4">
        <v>605</v>
      </c>
      <c r="B606" t="s">
        <v>11</v>
      </c>
      <c r="C606" s="1">
        <v>45452</v>
      </c>
      <c r="D606" s="1">
        <v>46681</v>
      </c>
      <c r="E606" t="s">
        <v>12</v>
      </c>
      <c r="F606" s="11">
        <f ca="1">IF(HR[[#This Row],[ Employee Status]]="exited",HR[[#This Row],[ExitDate]]-HR[[#This Row],[HireDate]],TODAY()-HR[[#This Row],[HireDate]])/365</f>
        <v>3.3671232876712329</v>
      </c>
      <c r="G606" s="4">
        <f>IF(HR[[#This Row],[ Employee Status]]="still working","",YEAR(HR[[#This Row],[ExitDate]]))</f>
        <v>2027</v>
      </c>
      <c r="H606" s="6">
        <v>4986</v>
      </c>
      <c r="I606" s="10">
        <v>2.92</v>
      </c>
      <c r="J606" s="10">
        <v>2.61</v>
      </c>
      <c r="K606" s="4">
        <v>28</v>
      </c>
    </row>
    <row r="607" spans="1:11" x14ac:dyDescent="0.3">
      <c r="A607" s="4">
        <v>606</v>
      </c>
      <c r="B607" t="s">
        <v>7</v>
      </c>
      <c r="C607" s="1">
        <v>44870</v>
      </c>
      <c r="D607" s="1">
        <v>45980</v>
      </c>
      <c r="E607" t="s">
        <v>12</v>
      </c>
      <c r="F607" s="11">
        <f ca="1">IF(HR[[#This Row],[ Employee Status]]="exited",HR[[#This Row],[ExitDate]]-HR[[#This Row],[HireDate]],TODAY()-HR[[#This Row],[HireDate]])/365</f>
        <v>3.0410958904109591</v>
      </c>
      <c r="G607" s="4">
        <f>IF(HR[[#This Row],[ Employee Status]]="still working","",YEAR(HR[[#This Row],[ExitDate]]))</f>
        <v>2025</v>
      </c>
      <c r="H607" s="6">
        <v>8231</v>
      </c>
      <c r="I607" s="10">
        <v>2.38</v>
      </c>
      <c r="J607" s="10">
        <v>3.31</v>
      </c>
      <c r="K607" s="4">
        <v>11</v>
      </c>
    </row>
    <row r="608" spans="1:11" x14ac:dyDescent="0.3">
      <c r="A608" s="4">
        <v>607</v>
      </c>
      <c r="B608" t="s">
        <v>9</v>
      </c>
      <c r="C608" s="1">
        <v>44508</v>
      </c>
      <c r="D608" s="1"/>
      <c r="E608" t="s">
        <v>8</v>
      </c>
      <c r="F608" s="11">
        <f ca="1">IF(HR[[#This Row],[ Employee Status]]="exited",HR[[#This Row],[ExitDate]]-HR[[#This Row],[HireDate]],TODAY()-HR[[#This Row],[HireDate]])/365</f>
        <v>4.6630136986301371</v>
      </c>
      <c r="G608" s="4" t="str">
        <f>IF(HR[[#This Row],[ Employee Status]]="still working","",YEAR(HR[[#This Row],[ExitDate]]))</f>
        <v/>
      </c>
      <c r="H608" s="6">
        <v>6144</v>
      </c>
      <c r="I608" s="10">
        <v>4.9800000000000004</v>
      </c>
      <c r="J608" s="10">
        <v>1.37</v>
      </c>
      <c r="K608" s="4">
        <v>10</v>
      </c>
    </row>
    <row r="609" spans="1:11" x14ac:dyDescent="0.3">
      <c r="A609" s="4">
        <v>608</v>
      </c>
      <c r="B609" t="s">
        <v>9</v>
      </c>
      <c r="C609" s="1">
        <v>43972</v>
      </c>
      <c r="D609" s="1"/>
      <c r="E609" t="s">
        <v>8</v>
      </c>
      <c r="F609" s="11">
        <f ca="1">IF(HR[[#This Row],[ Employee Status]]="exited",HR[[#This Row],[ExitDate]]-HR[[#This Row],[HireDate]],TODAY()-HR[[#This Row],[HireDate]])/365</f>
        <v>6.1315068493150688</v>
      </c>
      <c r="G609" s="4" t="str">
        <f>IF(HR[[#This Row],[ Employee Status]]="still working","",YEAR(HR[[#This Row],[ExitDate]]))</f>
        <v/>
      </c>
      <c r="H609" s="6">
        <v>6512</v>
      </c>
      <c r="I609" s="10">
        <v>3.85</v>
      </c>
      <c r="J609" s="10">
        <v>4.4000000000000004</v>
      </c>
      <c r="K609" s="4">
        <v>18</v>
      </c>
    </row>
    <row r="610" spans="1:11" x14ac:dyDescent="0.3">
      <c r="A610" s="4">
        <v>609</v>
      </c>
      <c r="B610" t="s">
        <v>10</v>
      </c>
      <c r="C610" s="1">
        <v>45240</v>
      </c>
      <c r="D610" s="1"/>
      <c r="E610" t="s">
        <v>8</v>
      </c>
      <c r="F610" s="11">
        <f ca="1">IF(HR[[#This Row],[ Employee Status]]="exited",HR[[#This Row],[ExitDate]]-HR[[#This Row],[HireDate]],TODAY()-HR[[#This Row],[HireDate]])/365</f>
        <v>2.6575342465753424</v>
      </c>
      <c r="G610" s="4" t="str">
        <f>IF(HR[[#This Row],[ Employee Status]]="still working","",YEAR(HR[[#This Row],[ExitDate]]))</f>
        <v/>
      </c>
      <c r="H610" s="6">
        <v>3857</v>
      </c>
      <c r="I610" s="10">
        <v>3.76</v>
      </c>
      <c r="J610" s="10">
        <v>3.17</v>
      </c>
      <c r="K610" s="4">
        <v>19</v>
      </c>
    </row>
    <row r="611" spans="1:11" x14ac:dyDescent="0.3">
      <c r="A611" s="4">
        <v>610</v>
      </c>
      <c r="B611" t="s">
        <v>14</v>
      </c>
      <c r="C611" s="1">
        <v>43929</v>
      </c>
      <c r="D611" s="1"/>
      <c r="E611" t="s">
        <v>8</v>
      </c>
      <c r="F611" s="11">
        <f ca="1">IF(HR[[#This Row],[ Employee Status]]="exited",HR[[#This Row],[ExitDate]]-HR[[#This Row],[HireDate]],TODAY()-HR[[#This Row],[HireDate]])/365</f>
        <v>6.2493150684931509</v>
      </c>
      <c r="G611" s="4" t="str">
        <f>IF(HR[[#This Row],[ Employee Status]]="still working","",YEAR(HR[[#This Row],[ExitDate]]))</f>
        <v/>
      </c>
      <c r="H611" s="6">
        <v>7875</v>
      </c>
      <c r="I611" s="10">
        <v>2.14</v>
      </c>
      <c r="J611" s="10">
        <v>2.1800000000000002</v>
      </c>
      <c r="K611" s="4">
        <v>10</v>
      </c>
    </row>
    <row r="612" spans="1:11" x14ac:dyDescent="0.3">
      <c r="A612" s="4">
        <v>611</v>
      </c>
      <c r="B612" t="s">
        <v>14</v>
      </c>
      <c r="C612" s="1">
        <v>44299</v>
      </c>
      <c r="D612" s="1"/>
      <c r="E612" t="s">
        <v>8</v>
      </c>
      <c r="F612" s="11">
        <f ca="1">IF(HR[[#This Row],[ Employee Status]]="exited",HR[[#This Row],[ExitDate]]-HR[[#This Row],[HireDate]],TODAY()-HR[[#This Row],[HireDate]])/365</f>
        <v>5.2356164383561641</v>
      </c>
      <c r="G612" s="4" t="str">
        <f>IF(HR[[#This Row],[ Employee Status]]="still working","",YEAR(HR[[#This Row],[ExitDate]]))</f>
        <v/>
      </c>
      <c r="H612" s="6">
        <v>6346</v>
      </c>
      <c r="I612" s="10">
        <v>2.92</v>
      </c>
      <c r="J612" s="10">
        <v>3.45</v>
      </c>
      <c r="K612" s="4">
        <v>0</v>
      </c>
    </row>
    <row r="613" spans="1:11" x14ac:dyDescent="0.3">
      <c r="A613" s="4">
        <v>612</v>
      </c>
      <c r="B613" t="s">
        <v>14</v>
      </c>
      <c r="C613" s="1">
        <v>43697</v>
      </c>
      <c r="D613" s="1">
        <v>44611</v>
      </c>
      <c r="E613" t="s">
        <v>12</v>
      </c>
      <c r="F613" s="11">
        <f ca="1">IF(HR[[#This Row],[ Employee Status]]="exited",HR[[#This Row],[ExitDate]]-HR[[#This Row],[HireDate]],TODAY()-HR[[#This Row],[HireDate]])/365</f>
        <v>2.504109589041096</v>
      </c>
      <c r="G613" s="4">
        <f>IF(HR[[#This Row],[ Employee Status]]="still working","",YEAR(HR[[#This Row],[ExitDate]]))</f>
        <v>2022</v>
      </c>
      <c r="H613" s="6">
        <v>6957</v>
      </c>
      <c r="I613" s="10">
        <v>4.72</v>
      </c>
      <c r="J613" s="10">
        <v>4.99</v>
      </c>
      <c r="K613" s="4">
        <v>11</v>
      </c>
    </row>
    <row r="614" spans="1:11" x14ac:dyDescent="0.3">
      <c r="A614" s="4">
        <v>613</v>
      </c>
      <c r="B614" t="s">
        <v>11</v>
      </c>
      <c r="C614" s="1">
        <v>44878</v>
      </c>
      <c r="D614" s="1"/>
      <c r="E614" t="s">
        <v>8</v>
      </c>
      <c r="F614" s="11">
        <f ca="1">IF(HR[[#This Row],[ Employee Status]]="exited",HR[[#This Row],[ExitDate]]-HR[[#This Row],[HireDate]],TODAY()-HR[[#This Row],[HireDate]])/365</f>
        <v>3.6493150684931508</v>
      </c>
      <c r="G614" s="4" t="str">
        <f>IF(HR[[#This Row],[ Employee Status]]="still working","",YEAR(HR[[#This Row],[ExitDate]]))</f>
        <v/>
      </c>
      <c r="H614" s="6">
        <v>11106</v>
      </c>
      <c r="I614" s="10">
        <v>4.2</v>
      </c>
      <c r="J614" s="10">
        <v>4.7</v>
      </c>
      <c r="K614" s="4">
        <v>12</v>
      </c>
    </row>
    <row r="615" spans="1:11" x14ac:dyDescent="0.3">
      <c r="A615" s="4">
        <v>614</v>
      </c>
      <c r="B615" t="s">
        <v>11</v>
      </c>
      <c r="C615" s="1">
        <v>44468</v>
      </c>
      <c r="D615" s="1">
        <v>45384</v>
      </c>
      <c r="E615" t="s">
        <v>12</v>
      </c>
      <c r="F615" s="11">
        <f ca="1">IF(HR[[#This Row],[ Employee Status]]="exited",HR[[#This Row],[ExitDate]]-HR[[#This Row],[HireDate]],TODAY()-HR[[#This Row],[HireDate]])/365</f>
        <v>2.5095890410958903</v>
      </c>
      <c r="G615" s="4">
        <f>IF(HR[[#This Row],[ Employee Status]]="still working","",YEAR(HR[[#This Row],[ExitDate]]))</f>
        <v>2024</v>
      </c>
      <c r="H615" s="6">
        <v>6637</v>
      </c>
      <c r="I615" s="10">
        <v>3.19</v>
      </c>
      <c r="J615" s="10">
        <v>4.03</v>
      </c>
      <c r="K615" s="4">
        <v>13</v>
      </c>
    </row>
    <row r="616" spans="1:11" x14ac:dyDescent="0.3">
      <c r="A616" s="4">
        <v>615</v>
      </c>
      <c r="B616" t="s">
        <v>9</v>
      </c>
      <c r="C616" s="1">
        <v>43874</v>
      </c>
      <c r="D616" s="1"/>
      <c r="E616" t="s">
        <v>8</v>
      </c>
      <c r="F616" s="11">
        <f ca="1">IF(HR[[#This Row],[ Employee Status]]="exited",HR[[#This Row],[ExitDate]]-HR[[#This Row],[HireDate]],TODAY()-HR[[#This Row],[HireDate]])/365</f>
        <v>6.4</v>
      </c>
      <c r="G616" s="4" t="str">
        <f>IF(HR[[#This Row],[ Employee Status]]="still working","",YEAR(HR[[#This Row],[ExitDate]]))</f>
        <v/>
      </c>
      <c r="H616" s="6">
        <v>10382</v>
      </c>
      <c r="I616" s="10">
        <v>3.74</v>
      </c>
      <c r="J616" s="10">
        <v>2.38</v>
      </c>
      <c r="K616" s="4">
        <v>24</v>
      </c>
    </row>
    <row r="617" spans="1:11" x14ac:dyDescent="0.3">
      <c r="A617" s="4">
        <v>616</v>
      </c>
      <c r="B617" t="s">
        <v>14</v>
      </c>
      <c r="C617" s="1">
        <v>43753</v>
      </c>
      <c r="D617" s="1"/>
      <c r="E617" t="s">
        <v>8</v>
      </c>
      <c r="F617" s="11">
        <f ca="1">IF(HR[[#This Row],[ Employee Status]]="exited",HR[[#This Row],[ExitDate]]-HR[[#This Row],[HireDate]],TODAY()-HR[[#This Row],[HireDate]])/365</f>
        <v>6.7315068493150685</v>
      </c>
      <c r="G617" s="4" t="str">
        <f>IF(HR[[#This Row],[ Employee Status]]="still working","",YEAR(HR[[#This Row],[ExitDate]]))</f>
        <v/>
      </c>
      <c r="H617" s="6">
        <v>10008</v>
      </c>
      <c r="I617" s="10">
        <v>3.97</v>
      </c>
      <c r="J617" s="10">
        <v>4.99</v>
      </c>
      <c r="K617" s="4">
        <v>15</v>
      </c>
    </row>
    <row r="618" spans="1:11" x14ac:dyDescent="0.3">
      <c r="A618" s="4">
        <v>617</v>
      </c>
      <c r="B618" t="s">
        <v>9</v>
      </c>
      <c r="C618" s="1">
        <v>45501</v>
      </c>
      <c r="D618" s="1"/>
      <c r="E618" t="s">
        <v>8</v>
      </c>
      <c r="F618" s="11">
        <f ca="1">IF(HR[[#This Row],[ Employee Status]]="exited",HR[[#This Row],[ExitDate]]-HR[[#This Row],[HireDate]],TODAY()-HR[[#This Row],[HireDate]])/365</f>
        <v>1.9424657534246574</v>
      </c>
      <c r="G618" s="4" t="str">
        <f>IF(HR[[#This Row],[ Employee Status]]="still working","",YEAR(HR[[#This Row],[ExitDate]]))</f>
        <v/>
      </c>
      <c r="H618" s="6">
        <v>6164</v>
      </c>
      <c r="I618" s="10">
        <v>4.96</v>
      </c>
      <c r="J618" s="10">
        <v>1</v>
      </c>
      <c r="K618" s="4">
        <v>26</v>
      </c>
    </row>
    <row r="619" spans="1:11" x14ac:dyDescent="0.3">
      <c r="A619" s="4">
        <v>618</v>
      </c>
      <c r="B619" t="s">
        <v>11</v>
      </c>
      <c r="C619" s="1">
        <v>43720</v>
      </c>
      <c r="D619" s="1"/>
      <c r="E619" t="s">
        <v>8</v>
      </c>
      <c r="F619" s="11">
        <f ca="1">IF(HR[[#This Row],[ Employee Status]]="exited",HR[[#This Row],[ExitDate]]-HR[[#This Row],[HireDate]],TODAY()-HR[[#This Row],[HireDate]])/365</f>
        <v>6.8219178082191778</v>
      </c>
      <c r="G619" s="4" t="str">
        <f>IF(HR[[#This Row],[ Employee Status]]="still working","",YEAR(HR[[#This Row],[ExitDate]]))</f>
        <v/>
      </c>
      <c r="H619" s="6">
        <v>11435</v>
      </c>
      <c r="I619" s="10">
        <v>3.24</v>
      </c>
      <c r="J619" s="10">
        <v>3.92</v>
      </c>
      <c r="K619" s="4">
        <v>16</v>
      </c>
    </row>
    <row r="620" spans="1:11" x14ac:dyDescent="0.3">
      <c r="A620" s="4">
        <v>619</v>
      </c>
      <c r="B620" t="s">
        <v>13</v>
      </c>
      <c r="C620" s="1">
        <v>45488</v>
      </c>
      <c r="D620" s="1">
        <v>46256</v>
      </c>
      <c r="E620" t="s">
        <v>12</v>
      </c>
      <c r="F620" s="11">
        <f ca="1">IF(HR[[#This Row],[ Employee Status]]="exited",HR[[#This Row],[ExitDate]]-HR[[#This Row],[HireDate]],TODAY()-HR[[#This Row],[HireDate]])/365</f>
        <v>2.1041095890410957</v>
      </c>
      <c r="G620" s="4">
        <f>IF(HR[[#This Row],[ Employee Status]]="still working","",YEAR(HR[[#This Row],[ExitDate]]))</f>
        <v>2026</v>
      </c>
      <c r="H620" s="6">
        <v>4464</v>
      </c>
      <c r="I620" s="10">
        <v>3.2</v>
      </c>
      <c r="J620" s="10">
        <v>2.35</v>
      </c>
      <c r="K620" s="4">
        <v>0</v>
      </c>
    </row>
    <row r="621" spans="1:11" x14ac:dyDescent="0.3">
      <c r="A621" s="4">
        <v>620</v>
      </c>
      <c r="B621" t="s">
        <v>9</v>
      </c>
      <c r="C621" s="1">
        <v>43892</v>
      </c>
      <c r="D621" s="1"/>
      <c r="E621" t="s">
        <v>8</v>
      </c>
      <c r="F621" s="11">
        <f ca="1">IF(HR[[#This Row],[ Employee Status]]="exited",HR[[#This Row],[ExitDate]]-HR[[#This Row],[HireDate]],TODAY()-HR[[#This Row],[HireDate]])/365</f>
        <v>6.3506849315068497</v>
      </c>
      <c r="G621" s="4" t="str">
        <f>IF(HR[[#This Row],[ Employee Status]]="still working","",YEAR(HR[[#This Row],[ExitDate]]))</f>
        <v/>
      </c>
      <c r="H621" s="6">
        <v>8960</v>
      </c>
      <c r="I621" s="10">
        <v>4.09</v>
      </c>
      <c r="J621" s="10">
        <v>1.86</v>
      </c>
      <c r="K621" s="4">
        <v>6</v>
      </c>
    </row>
    <row r="622" spans="1:11" x14ac:dyDescent="0.3">
      <c r="A622" s="4">
        <v>621</v>
      </c>
      <c r="B622" t="s">
        <v>13</v>
      </c>
      <c r="C622" s="1">
        <v>44256</v>
      </c>
      <c r="D622" s="1"/>
      <c r="E622" t="s">
        <v>8</v>
      </c>
      <c r="F622" s="11">
        <f ca="1">IF(HR[[#This Row],[ Employee Status]]="exited",HR[[#This Row],[ExitDate]]-HR[[#This Row],[HireDate]],TODAY()-HR[[#This Row],[HireDate]])/365</f>
        <v>5.353424657534247</v>
      </c>
      <c r="G622" s="4" t="str">
        <f>IF(HR[[#This Row],[ Employee Status]]="still working","",YEAR(HR[[#This Row],[ExitDate]]))</f>
        <v/>
      </c>
      <c r="H622" s="6">
        <v>7386</v>
      </c>
      <c r="I622" s="10">
        <v>2.89</v>
      </c>
      <c r="J622" s="10">
        <v>3.12</v>
      </c>
      <c r="K622" s="4">
        <v>10</v>
      </c>
    </row>
    <row r="623" spans="1:11" x14ac:dyDescent="0.3">
      <c r="A623" s="4">
        <v>622</v>
      </c>
      <c r="B623" t="s">
        <v>11</v>
      </c>
      <c r="C623" s="1">
        <v>44634</v>
      </c>
      <c r="D623" s="1"/>
      <c r="E623" t="s">
        <v>8</v>
      </c>
      <c r="F623" s="11">
        <f ca="1">IF(HR[[#This Row],[ Employee Status]]="exited",HR[[#This Row],[ExitDate]]-HR[[#This Row],[HireDate]],TODAY()-HR[[#This Row],[HireDate]])/365</f>
        <v>4.3178082191780822</v>
      </c>
      <c r="G623" s="4" t="str">
        <f>IF(HR[[#This Row],[ Employee Status]]="still working","",YEAR(HR[[#This Row],[ExitDate]]))</f>
        <v/>
      </c>
      <c r="H623" s="6">
        <v>8275</v>
      </c>
      <c r="I623" s="10">
        <v>2.4500000000000002</v>
      </c>
      <c r="J623" s="10">
        <v>2.73</v>
      </c>
      <c r="K623" s="4">
        <v>3</v>
      </c>
    </row>
    <row r="624" spans="1:11" x14ac:dyDescent="0.3">
      <c r="A624" s="4">
        <v>623</v>
      </c>
      <c r="B624" t="s">
        <v>11</v>
      </c>
      <c r="C624" s="1">
        <v>43501</v>
      </c>
      <c r="D624" s="1"/>
      <c r="E624" t="s">
        <v>8</v>
      </c>
      <c r="F624" s="11">
        <f ca="1">IF(HR[[#This Row],[ Employee Status]]="exited",HR[[#This Row],[ExitDate]]-HR[[#This Row],[HireDate]],TODAY()-HR[[#This Row],[HireDate]])/365</f>
        <v>7.4219178082191783</v>
      </c>
      <c r="G624" s="4" t="str">
        <f>IF(HR[[#This Row],[ Employee Status]]="still working","",YEAR(HR[[#This Row],[ExitDate]]))</f>
        <v/>
      </c>
      <c r="H624" s="6">
        <v>11111</v>
      </c>
      <c r="I624" s="10">
        <v>2.2400000000000002</v>
      </c>
      <c r="J624" s="10">
        <v>2.91</v>
      </c>
      <c r="K624" s="4">
        <v>11</v>
      </c>
    </row>
    <row r="625" spans="1:11" x14ac:dyDescent="0.3">
      <c r="A625" s="4">
        <v>624</v>
      </c>
      <c r="B625" t="s">
        <v>9</v>
      </c>
      <c r="C625" s="1">
        <v>43850</v>
      </c>
      <c r="D625" s="1">
        <v>45036</v>
      </c>
      <c r="E625" t="s">
        <v>12</v>
      </c>
      <c r="F625" s="11">
        <f ca="1">IF(HR[[#This Row],[ Employee Status]]="exited",HR[[#This Row],[ExitDate]]-HR[[#This Row],[HireDate]],TODAY()-HR[[#This Row],[HireDate]])/365</f>
        <v>3.2493150684931509</v>
      </c>
      <c r="G625" s="4">
        <f>IF(HR[[#This Row],[ Employee Status]]="still working","",YEAR(HR[[#This Row],[ExitDate]]))</f>
        <v>2023</v>
      </c>
      <c r="H625" s="6">
        <v>3692</v>
      </c>
      <c r="I625" s="10">
        <v>2.97</v>
      </c>
      <c r="J625" s="10">
        <v>4.95</v>
      </c>
      <c r="K625" s="4">
        <v>25</v>
      </c>
    </row>
    <row r="626" spans="1:11" x14ac:dyDescent="0.3">
      <c r="A626" s="4">
        <v>625</v>
      </c>
      <c r="B626" t="s">
        <v>11</v>
      </c>
      <c r="C626" s="1">
        <v>45045</v>
      </c>
      <c r="D626" s="1"/>
      <c r="E626" t="s">
        <v>8</v>
      </c>
      <c r="F626" s="11">
        <f ca="1">IF(HR[[#This Row],[ Employee Status]]="exited",HR[[#This Row],[ExitDate]]-HR[[#This Row],[HireDate]],TODAY()-HR[[#This Row],[HireDate]])/365</f>
        <v>3.1917808219178081</v>
      </c>
      <c r="G626" s="4" t="str">
        <f>IF(HR[[#This Row],[ Employee Status]]="still working","",YEAR(HR[[#This Row],[ExitDate]]))</f>
        <v/>
      </c>
      <c r="H626" s="6">
        <v>8960</v>
      </c>
      <c r="I626" s="10">
        <v>3.55</v>
      </c>
      <c r="J626" s="10">
        <v>3.32</v>
      </c>
      <c r="K626" s="4">
        <v>4</v>
      </c>
    </row>
    <row r="627" spans="1:11" x14ac:dyDescent="0.3">
      <c r="A627" s="4">
        <v>626</v>
      </c>
      <c r="B627" t="s">
        <v>10</v>
      </c>
      <c r="C627" s="1">
        <v>44367</v>
      </c>
      <c r="D627" s="1"/>
      <c r="E627" t="s">
        <v>8</v>
      </c>
      <c r="F627" s="11">
        <f ca="1">IF(HR[[#This Row],[ Employee Status]]="exited",HR[[#This Row],[ExitDate]]-HR[[#This Row],[HireDate]],TODAY()-HR[[#This Row],[HireDate]])/365</f>
        <v>5.0493150684931507</v>
      </c>
      <c r="G627" s="4" t="str">
        <f>IF(HR[[#This Row],[ Employee Status]]="still working","",YEAR(HR[[#This Row],[ExitDate]]))</f>
        <v/>
      </c>
      <c r="H627" s="6">
        <v>5080</v>
      </c>
      <c r="I627" s="10">
        <v>3.85</v>
      </c>
      <c r="J627" s="10">
        <v>2.37</v>
      </c>
      <c r="K627" s="4">
        <v>21</v>
      </c>
    </row>
    <row r="628" spans="1:11" x14ac:dyDescent="0.3">
      <c r="A628" s="4">
        <v>627</v>
      </c>
      <c r="B628" t="s">
        <v>7</v>
      </c>
      <c r="C628" s="1">
        <v>43217</v>
      </c>
      <c r="D628" s="1"/>
      <c r="E628" t="s">
        <v>8</v>
      </c>
      <c r="F628" s="11">
        <f ca="1">IF(HR[[#This Row],[ Employee Status]]="exited",HR[[#This Row],[ExitDate]]-HR[[#This Row],[HireDate]],TODAY()-HR[[#This Row],[HireDate]])/365</f>
        <v>8.1999999999999993</v>
      </c>
      <c r="G628" s="4" t="str">
        <f>IF(HR[[#This Row],[ Employee Status]]="still working","",YEAR(HR[[#This Row],[ExitDate]]))</f>
        <v/>
      </c>
      <c r="H628" s="6">
        <v>4184</v>
      </c>
      <c r="I628" s="10">
        <v>3.83</v>
      </c>
      <c r="J628" s="10">
        <v>1.1000000000000001</v>
      </c>
      <c r="K628" s="4">
        <v>11</v>
      </c>
    </row>
    <row r="629" spans="1:11" x14ac:dyDescent="0.3">
      <c r="A629" s="4">
        <v>628</v>
      </c>
      <c r="B629" t="s">
        <v>14</v>
      </c>
      <c r="C629" s="1">
        <v>45067</v>
      </c>
      <c r="D629" s="1"/>
      <c r="E629" t="s">
        <v>8</v>
      </c>
      <c r="F629" s="11">
        <f ca="1">IF(HR[[#This Row],[ Employee Status]]="exited",HR[[#This Row],[ExitDate]]-HR[[#This Row],[HireDate]],TODAY()-HR[[#This Row],[HireDate]])/365</f>
        <v>3.1315068493150684</v>
      </c>
      <c r="G629" s="4" t="str">
        <f>IF(HR[[#This Row],[ Employee Status]]="still working","",YEAR(HR[[#This Row],[ExitDate]]))</f>
        <v/>
      </c>
      <c r="H629" s="6">
        <v>12350</v>
      </c>
      <c r="I629" s="10">
        <v>2.65</v>
      </c>
      <c r="J629" s="10">
        <v>2.77</v>
      </c>
      <c r="K629" s="4">
        <v>26</v>
      </c>
    </row>
    <row r="630" spans="1:11" x14ac:dyDescent="0.3">
      <c r="A630" s="4">
        <v>629</v>
      </c>
      <c r="B630" t="s">
        <v>14</v>
      </c>
      <c r="C630" s="1">
        <v>43615</v>
      </c>
      <c r="D630" s="1"/>
      <c r="E630" t="s">
        <v>8</v>
      </c>
      <c r="F630" s="11">
        <f ca="1">IF(HR[[#This Row],[ Employee Status]]="exited",HR[[#This Row],[ExitDate]]-HR[[#This Row],[HireDate]],TODAY()-HR[[#This Row],[HireDate]])/365</f>
        <v>7.1095890410958908</v>
      </c>
      <c r="G630" s="4" t="str">
        <f>IF(HR[[#This Row],[ Employee Status]]="still working","",YEAR(HR[[#This Row],[ExitDate]]))</f>
        <v/>
      </c>
      <c r="H630" s="6">
        <v>7675</v>
      </c>
      <c r="I630" s="10">
        <v>3.51</v>
      </c>
      <c r="J630" s="10">
        <v>1.27</v>
      </c>
      <c r="K630" s="4">
        <v>1</v>
      </c>
    </row>
    <row r="631" spans="1:11" x14ac:dyDescent="0.3">
      <c r="A631" s="4">
        <v>630</v>
      </c>
      <c r="B631" t="s">
        <v>11</v>
      </c>
      <c r="C631" s="1">
        <v>44769</v>
      </c>
      <c r="D631" s="1">
        <v>46164</v>
      </c>
      <c r="E631" t="s">
        <v>12</v>
      </c>
      <c r="F631" s="11">
        <f ca="1">IF(HR[[#This Row],[ Employee Status]]="exited",HR[[#This Row],[ExitDate]]-HR[[#This Row],[HireDate]],TODAY()-HR[[#This Row],[HireDate]])/365</f>
        <v>3.8219178082191783</v>
      </c>
      <c r="G631" s="4">
        <f>IF(HR[[#This Row],[ Employee Status]]="still working","",YEAR(HR[[#This Row],[ExitDate]]))</f>
        <v>2026</v>
      </c>
      <c r="H631" s="6">
        <v>12641</v>
      </c>
      <c r="I631" s="10">
        <v>3.24</v>
      </c>
      <c r="J631" s="10">
        <v>4.83</v>
      </c>
      <c r="K631" s="4">
        <v>13</v>
      </c>
    </row>
    <row r="632" spans="1:11" x14ac:dyDescent="0.3">
      <c r="A632" s="4">
        <v>631</v>
      </c>
      <c r="B632" t="s">
        <v>9</v>
      </c>
      <c r="C632" s="1">
        <v>43954</v>
      </c>
      <c r="D632" s="1"/>
      <c r="E632" t="s">
        <v>8</v>
      </c>
      <c r="F632" s="11">
        <f ca="1">IF(HR[[#This Row],[ Employee Status]]="exited",HR[[#This Row],[ExitDate]]-HR[[#This Row],[HireDate]],TODAY()-HR[[#This Row],[HireDate]])/365</f>
        <v>6.1808219178082195</v>
      </c>
      <c r="G632" s="4" t="str">
        <f>IF(HR[[#This Row],[ Employee Status]]="still working","",YEAR(HR[[#This Row],[ExitDate]]))</f>
        <v/>
      </c>
      <c r="H632" s="6">
        <v>12846</v>
      </c>
      <c r="I632" s="10">
        <v>4.46</v>
      </c>
      <c r="J632" s="10">
        <v>4.3</v>
      </c>
      <c r="K632" s="4">
        <v>4</v>
      </c>
    </row>
    <row r="633" spans="1:11" x14ac:dyDescent="0.3">
      <c r="A633" s="4">
        <v>632</v>
      </c>
      <c r="B633" t="s">
        <v>14</v>
      </c>
      <c r="C633" s="1">
        <v>43614</v>
      </c>
      <c r="D633" s="1">
        <v>44544</v>
      </c>
      <c r="E633" t="s">
        <v>12</v>
      </c>
      <c r="F633" s="11">
        <f ca="1">IF(HR[[#This Row],[ Employee Status]]="exited",HR[[#This Row],[ExitDate]]-HR[[#This Row],[HireDate]],TODAY()-HR[[#This Row],[HireDate]])/365</f>
        <v>2.547945205479452</v>
      </c>
      <c r="G633" s="4">
        <f>IF(HR[[#This Row],[ Employee Status]]="still working","",YEAR(HR[[#This Row],[ExitDate]]))</f>
        <v>2021</v>
      </c>
      <c r="H633" s="6">
        <v>4353</v>
      </c>
      <c r="I633" s="10">
        <v>3.88</v>
      </c>
      <c r="J633" s="10">
        <v>1.05</v>
      </c>
      <c r="K633" s="4">
        <v>2</v>
      </c>
    </row>
    <row r="634" spans="1:11" x14ac:dyDescent="0.3">
      <c r="A634" s="4">
        <v>633</v>
      </c>
      <c r="B634" t="s">
        <v>9</v>
      </c>
      <c r="C634" s="1">
        <v>44438</v>
      </c>
      <c r="D634" s="1"/>
      <c r="E634" t="s">
        <v>8</v>
      </c>
      <c r="F634" s="11">
        <f ca="1">IF(HR[[#This Row],[ Employee Status]]="exited",HR[[#This Row],[ExitDate]]-HR[[#This Row],[HireDate]],TODAY()-HR[[#This Row],[HireDate]])/365</f>
        <v>4.8547945205479452</v>
      </c>
      <c r="G634" s="4" t="str">
        <f>IF(HR[[#This Row],[ Employee Status]]="still working","",YEAR(HR[[#This Row],[ExitDate]]))</f>
        <v/>
      </c>
      <c r="H634" s="6">
        <v>11220</v>
      </c>
      <c r="I634" s="10">
        <v>3.19</v>
      </c>
      <c r="J634" s="10">
        <v>3.05</v>
      </c>
      <c r="K634" s="4">
        <v>18</v>
      </c>
    </row>
    <row r="635" spans="1:11" x14ac:dyDescent="0.3">
      <c r="A635" s="4">
        <v>634</v>
      </c>
      <c r="B635" t="s">
        <v>10</v>
      </c>
      <c r="C635" s="1">
        <v>43834</v>
      </c>
      <c r="D635" s="1">
        <v>44806</v>
      </c>
      <c r="E635" t="s">
        <v>12</v>
      </c>
      <c r="F635" s="11">
        <f ca="1">IF(HR[[#This Row],[ Employee Status]]="exited",HR[[#This Row],[ExitDate]]-HR[[#This Row],[HireDate]],TODAY()-HR[[#This Row],[HireDate]])/365</f>
        <v>2.6630136986301371</v>
      </c>
      <c r="G635" s="4">
        <f>IF(HR[[#This Row],[ Employee Status]]="still working","",YEAR(HR[[#This Row],[ExitDate]]))</f>
        <v>2022</v>
      </c>
      <c r="H635" s="6">
        <v>11531</v>
      </c>
      <c r="I635" s="10">
        <v>2.08</v>
      </c>
      <c r="J635" s="10">
        <v>3.21</v>
      </c>
      <c r="K635" s="4">
        <v>15</v>
      </c>
    </row>
    <row r="636" spans="1:11" x14ac:dyDescent="0.3">
      <c r="A636" s="4">
        <v>635</v>
      </c>
      <c r="B636" t="s">
        <v>13</v>
      </c>
      <c r="C636" s="1">
        <v>44919</v>
      </c>
      <c r="D636" s="1"/>
      <c r="E636" t="s">
        <v>8</v>
      </c>
      <c r="F636" s="11">
        <f ca="1">IF(HR[[#This Row],[ Employee Status]]="exited",HR[[#This Row],[ExitDate]]-HR[[#This Row],[HireDate]],TODAY()-HR[[#This Row],[HireDate]])/365</f>
        <v>3.536986301369863</v>
      </c>
      <c r="G636" s="4" t="str">
        <f>IF(HR[[#This Row],[ Employee Status]]="still working","",YEAR(HR[[#This Row],[ExitDate]]))</f>
        <v/>
      </c>
      <c r="H636" s="6">
        <v>6899</v>
      </c>
      <c r="I636" s="10">
        <v>4.75</v>
      </c>
      <c r="J636" s="10">
        <v>4.1100000000000003</v>
      </c>
      <c r="K636" s="4">
        <v>1</v>
      </c>
    </row>
    <row r="637" spans="1:11" x14ac:dyDescent="0.3">
      <c r="A637" s="4">
        <v>636</v>
      </c>
      <c r="B637" t="s">
        <v>13</v>
      </c>
      <c r="C637" s="1">
        <v>44021</v>
      </c>
      <c r="D637" s="1"/>
      <c r="E637" t="s">
        <v>8</v>
      </c>
      <c r="F637" s="11">
        <f ca="1">IF(HR[[#This Row],[ Employee Status]]="exited",HR[[#This Row],[ExitDate]]-HR[[#This Row],[HireDate]],TODAY()-HR[[#This Row],[HireDate]])/365</f>
        <v>5.9972602739726026</v>
      </c>
      <c r="G637" s="4" t="str">
        <f>IF(HR[[#This Row],[ Employee Status]]="still working","",YEAR(HR[[#This Row],[ExitDate]]))</f>
        <v/>
      </c>
      <c r="H637" s="6">
        <v>8960</v>
      </c>
      <c r="I637" s="10">
        <v>4.53</v>
      </c>
      <c r="J637" s="10">
        <v>2.19</v>
      </c>
      <c r="K637" s="4">
        <v>24</v>
      </c>
    </row>
    <row r="638" spans="1:11" x14ac:dyDescent="0.3">
      <c r="A638" s="4">
        <v>637</v>
      </c>
      <c r="B638" t="s">
        <v>13</v>
      </c>
      <c r="C638" s="1">
        <v>44289</v>
      </c>
      <c r="D638" s="1">
        <v>45047</v>
      </c>
      <c r="E638" t="s">
        <v>12</v>
      </c>
      <c r="F638" s="11">
        <f ca="1">IF(HR[[#This Row],[ Employee Status]]="exited",HR[[#This Row],[ExitDate]]-HR[[#This Row],[HireDate]],TODAY()-HR[[#This Row],[HireDate]])/365</f>
        <v>2.0767123287671234</v>
      </c>
      <c r="G638" s="4">
        <f>IF(HR[[#This Row],[ Employee Status]]="still working","",YEAR(HR[[#This Row],[ExitDate]]))</f>
        <v>2023</v>
      </c>
      <c r="H638" s="6">
        <v>14728</v>
      </c>
      <c r="I638" s="10">
        <v>4.04</v>
      </c>
      <c r="J638" s="10">
        <v>1.66</v>
      </c>
      <c r="K638" s="4">
        <v>22</v>
      </c>
    </row>
    <row r="639" spans="1:11" x14ac:dyDescent="0.3">
      <c r="A639" s="4">
        <v>638</v>
      </c>
      <c r="B639" t="s">
        <v>7</v>
      </c>
      <c r="C639" s="1">
        <v>43643</v>
      </c>
      <c r="D639" s="1">
        <v>44956</v>
      </c>
      <c r="E639" t="s">
        <v>12</v>
      </c>
      <c r="F639" s="11">
        <f ca="1">IF(HR[[#This Row],[ Employee Status]]="exited",HR[[#This Row],[ExitDate]]-HR[[#This Row],[HireDate]],TODAY()-HR[[#This Row],[HireDate]])/365</f>
        <v>3.5972602739726027</v>
      </c>
      <c r="G639" s="4">
        <f>IF(HR[[#This Row],[ Employee Status]]="still working","",YEAR(HR[[#This Row],[ExitDate]]))</f>
        <v>2023</v>
      </c>
      <c r="H639" s="6">
        <v>8960</v>
      </c>
      <c r="I639" s="10">
        <v>2.27</v>
      </c>
      <c r="J639" s="10">
        <v>2.14</v>
      </c>
      <c r="K639" s="4">
        <v>26</v>
      </c>
    </row>
    <row r="640" spans="1:11" x14ac:dyDescent="0.3">
      <c r="A640" s="4">
        <v>639</v>
      </c>
      <c r="B640" t="s">
        <v>13</v>
      </c>
      <c r="C640" s="1">
        <v>44833</v>
      </c>
      <c r="D640" s="1"/>
      <c r="E640" t="s">
        <v>8</v>
      </c>
      <c r="F640" s="11">
        <f ca="1">IF(HR[[#This Row],[ Employee Status]]="exited",HR[[#This Row],[ExitDate]]-HR[[#This Row],[HireDate]],TODAY()-HR[[#This Row],[HireDate]])/365</f>
        <v>3.7726027397260276</v>
      </c>
      <c r="G640" s="4" t="str">
        <f>IF(HR[[#This Row],[ Employee Status]]="still working","",YEAR(HR[[#This Row],[ExitDate]]))</f>
        <v/>
      </c>
      <c r="H640" s="6">
        <v>5226</v>
      </c>
      <c r="I640" s="10">
        <v>3.24</v>
      </c>
      <c r="J640" s="10">
        <v>3.61</v>
      </c>
      <c r="K640" s="4">
        <v>27</v>
      </c>
    </row>
    <row r="641" spans="1:11" x14ac:dyDescent="0.3">
      <c r="A641" s="4">
        <v>640</v>
      </c>
      <c r="B641" t="s">
        <v>11</v>
      </c>
      <c r="C641" s="1">
        <v>44018</v>
      </c>
      <c r="D641" s="1"/>
      <c r="E641" t="s">
        <v>8</v>
      </c>
      <c r="F641" s="11">
        <f ca="1">IF(HR[[#This Row],[ Employee Status]]="exited",HR[[#This Row],[ExitDate]]-HR[[#This Row],[HireDate]],TODAY()-HR[[#This Row],[HireDate]])/365</f>
        <v>6.0054794520547947</v>
      </c>
      <c r="G641" s="4" t="str">
        <f>IF(HR[[#This Row],[ Employee Status]]="still working","",YEAR(HR[[#This Row],[ExitDate]]))</f>
        <v/>
      </c>
      <c r="H641" s="6">
        <v>8960</v>
      </c>
      <c r="I641" s="10">
        <v>3.65</v>
      </c>
      <c r="J641" s="10">
        <v>4.8499999999999996</v>
      </c>
      <c r="K641" s="4">
        <v>6</v>
      </c>
    </row>
    <row r="642" spans="1:11" x14ac:dyDescent="0.3">
      <c r="A642" s="4">
        <v>641</v>
      </c>
      <c r="B642" t="s">
        <v>7</v>
      </c>
      <c r="C642" s="1">
        <v>43323</v>
      </c>
      <c r="D642" s="1"/>
      <c r="E642" t="s">
        <v>8</v>
      </c>
      <c r="F642" s="11">
        <f ca="1">IF(HR[[#This Row],[ Employee Status]]="exited",HR[[#This Row],[ExitDate]]-HR[[#This Row],[HireDate]],TODAY()-HR[[#This Row],[HireDate]])/365</f>
        <v>7.9095890410958907</v>
      </c>
      <c r="G642" s="4" t="str">
        <f>IF(HR[[#This Row],[ Employee Status]]="still working","",YEAR(HR[[#This Row],[ExitDate]]))</f>
        <v/>
      </c>
      <c r="H642" s="6">
        <v>10876</v>
      </c>
      <c r="I642" s="10">
        <v>4.3899999999999997</v>
      </c>
      <c r="J642" s="10">
        <v>3.71</v>
      </c>
      <c r="K642" s="4">
        <v>22</v>
      </c>
    </row>
    <row r="643" spans="1:11" x14ac:dyDescent="0.3">
      <c r="A643" s="4">
        <v>642</v>
      </c>
      <c r="B643" t="s">
        <v>9</v>
      </c>
      <c r="C643" s="1">
        <v>44768</v>
      </c>
      <c r="D643" s="1"/>
      <c r="E643" t="s">
        <v>8</v>
      </c>
      <c r="F643" s="11">
        <f ca="1">IF(HR[[#This Row],[ Employee Status]]="exited",HR[[#This Row],[ExitDate]]-HR[[#This Row],[HireDate]],TODAY()-HR[[#This Row],[HireDate]])/365</f>
        <v>3.9506849315068493</v>
      </c>
      <c r="G643" s="4" t="str">
        <f>IF(HR[[#This Row],[ Employee Status]]="still working","",YEAR(HR[[#This Row],[ExitDate]]))</f>
        <v/>
      </c>
      <c r="H643" s="6">
        <v>3494</v>
      </c>
      <c r="I643" s="10">
        <v>3.94</v>
      </c>
      <c r="J643" s="10">
        <v>4.38</v>
      </c>
      <c r="K643" s="4">
        <v>6</v>
      </c>
    </row>
    <row r="644" spans="1:11" x14ac:dyDescent="0.3">
      <c r="A644" s="4">
        <v>643</v>
      </c>
      <c r="B644" t="s">
        <v>11</v>
      </c>
      <c r="C644" s="1">
        <v>44088</v>
      </c>
      <c r="D644" s="1"/>
      <c r="E644" t="s">
        <v>8</v>
      </c>
      <c r="F644" s="11">
        <f ca="1">IF(HR[[#This Row],[ Employee Status]]="exited",HR[[#This Row],[ExitDate]]-HR[[#This Row],[HireDate]],TODAY()-HR[[#This Row],[HireDate]])/365</f>
        <v>5.8136986301369866</v>
      </c>
      <c r="G644" s="4" t="str">
        <f>IF(HR[[#This Row],[ Employee Status]]="still working","",YEAR(HR[[#This Row],[ExitDate]]))</f>
        <v/>
      </c>
      <c r="H644" s="6">
        <v>12643</v>
      </c>
      <c r="I644" s="10">
        <v>4.22</v>
      </c>
      <c r="J644" s="10">
        <v>3.45</v>
      </c>
      <c r="K644" s="4">
        <v>23</v>
      </c>
    </row>
    <row r="645" spans="1:11" x14ac:dyDescent="0.3">
      <c r="A645" s="4">
        <v>644</v>
      </c>
      <c r="B645" t="s">
        <v>10</v>
      </c>
      <c r="C645" s="1">
        <v>45564</v>
      </c>
      <c r="D645" s="1">
        <v>46498</v>
      </c>
      <c r="E645" t="s">
        <v>12</v>
      </c>
      <c r="F645" s="11">
        <f ca="1">IF(HR[[#This Row],[ Employee Status]]="exited",HR[[#This Row],[ExitDate]]-HR[[#This Row],[HireDate]],TODAY()-HR[[#This Row],[HireDate]])/365</f>
        <v>2.558904109589041</v>
      </c>
      <c r="G645" s="4">
        <f>IF(HR[[#This Row],[ Employee Status]]="still working","",YEAR(HR[[#This Row],[ExitDate]]))</f>
        <v>2027</v>
      </c>
      <c r="H645" s="6">
        <v>9219</v>
      </c>
      <c r="I645" s="10">
        <v>3.74</v>
      </c>
      <c r="J645" s="10">
        <v>4.33</v>
      </c>
      <c r="K645" s="4">
        <v>26</v>
      </c>
    </row>
    <row r="646" spans="1:11" x14ac:dyDescent="0.3">
      <c r="A646" s="4">
        <v>645</v>
      </c>
      <c r="B646" t="s">
        <v>11</v>
      </c>
      <c r="C646" s="1">
        <v>44115</v>
      </c>
      <c r="D646" s="1"/>
      <c r="E646" t="s">
        <v>8</v>
      </c>
      <c r="F646" s="11">
        <f ca="1">IF(HR[[#This Row],[ Employee Status]]="exited",HR[[#This Row],[ExitDate]]-HR[[#This Row],[HireDate]],TODAY()-HR[[#This Row],[HireDate]])/365</f>
        <v>5.7397260273972606</v>
      </c>
      <c r="G646" s="4" t="str">
        <f>IF(HR[[#This Row],[ Employee Status]]="still working","",YEAR(HR[[#This Row],[ExitDate]]))</f>
        <v/>
      </c>
      <c r="H646" s="6">
        <v>8296</v>
      </c>
      <c r="I646" s="10">
        <v>3.96</v>
      </c>
      <c r="J646" s="10">
        <v>2.84</v>
      </c>
      <c r="K646" s="4">
        <v>5</v>
      </c>
    </row>
    <row r="647" spans="1:11" x14ac:dyDescent="0.3">
      <c r="A647" s="4">
        <v>646</v>
      </c>
      <c r="B647" t="s">
        <v>9</v>
      </c>
      <c r="C647" s="1">
        <v>43306</v>
      </c>
      <c r="D647" s="1"/>
      <c r="E647" t="s">
        <v>8</v>
      </c>
      <c r="F647" s="11">
        <f ca="1">IF(HR[[#This Row],[ Employee Status]]="exited",HR[[#This Row],[ExitDate]]-HR[[#This Row],[HireDate]],TODAY()-HR[[#This Row],[HireDate]])/365</f>
        <v>7.956164383561644</v>
      </c>
      <c r="G647" s="4" t="str">
        <f>IF(HR[[#This Row],[ Employee Status]]="still working","",YEAR(HR[[#This Row],[ExitDate]]))</f>
        <v/>
      </c>
      <c r="H647" s="6">
        <v>9453</v>
      </c>
      <c r="I647" s="10">
        <v>4.3099999999999996</v>
      </c>
      <c r="J647" s="10">
        <v>4.9800000000000004</v>
      </c>
      <c r="K647" s="4">
        <v>7</v>
      </c>
    </row>
    <row r="648" spans="1:11" x14ac:dyDescent="0.3">
      <c r="A648" s="4">
        <v>647</v>
      </c>
      <c r="B648" t="s">
        <v>11</v>
      </c>
      <c r="C648" s="1">
        <v>43811</v>
      </c>
      <c r="D648" s="1"/>
      <c r="E648" t="s">
        <v>8</v>
      </c>
      <c r="F648" s="11">
        <f ca="1">IF(HR[[#This Row],[ Employee Status]]="exited",HR[[#This Row],[ExitDate]]-HR[[#This Row],[HireDate]],TODAY()-HR[[#This Row],[HireDate]])/365</f>
        <v>6.5726027397260278</v>
      </c>
      <c r="G648" s="4" t="str">
        <f>IF(HR[[#This Row],[ Employee Status]]="still working","",YEAR(HR[[#This Row],[ExitDate]]))</f>
        <v/>
      </c>
      <c r="H648" s="6">
        <v>7180</v>
      </c>
      <c r="I648" s="10">
        <v>3.23</v>
      </c>
      <c r="J648" s="10">
        <v>2.42</v>
      </c>
      <c r="K648" s="4">
        <v>18</v>
      </c>
    </row>
    <row r="649" spans="1:11" x14ac:dyDescent="0.3">
      <c r="A649" s="4">
        <v>648</v>
      </c>
      <c r="B649" t="s">
        <v>14</v>
      </c>
      <c r="C649" s="1">
        <v>44967</v>
      </c>
      <c r="D649" s="1"/>
      <c r="E649" t="s">
        <v>8</v>
      </c>
      <c r="F649" s="11">
        <f ca="1">IF(HR[[#This Row],[ Employee Status]]="exited",HR[[#This Row],[ExitDate]]-HR[[#This Row],[HireDate]],TODAY()-HR[[#This Row],[HireDate]])/365</f>
        <v>3.4054794520547946</v>
      </c>
      <c r="G649" s="4" t="str">
        <f>IF(HR[[#This Row],[ Employee Status]]="still working","",YEAR(HR[[#This Row],[ExitDate]]))</f>
        <v/>
      </c>
      <c r="H649" s="6">
        <v>8014</v>
      </c>
      <c r="I649" s="10">
        <v>3.05</v>
      </c>
      <c r="J649" s="10">
        <v>1.98</v>
      </c>
      <c r="K649" s="4">
        <v>20</v>
      </c>
    </row>
    <row r="650" spans="1:11" x14ac:dyDescent="0.3">
      <c r="A650" s="4">
        <v>649</v>
      </c>
      <c r="B650" t="s">
        <v>14</v>
      </c>
      <c r="C650" s="1">
        <v>45127</v>
      </c>
      <c r="D650" s="1"/>
      <c r="E650" t="s">
        <v>8</v>
      </c>
      <c r="F650" s="11">
        <f ca="1">IF(HR[[#This Row],[ Employee Status]]="exited",HR[[#This Row],[ExitDate]]-HR[[#This Row],[HireDate]],TODAY()-HR[[#This Row],[HireDate]])/365</f>
        <v>2.967123287671233</v>
      </c>
      <c r="G650" s="4" t="str">
        <f>IF(HR[[#This Row],[ Employee Status]]="still working","",YEAR(HR[[#This Row],[ExitDate]]))</f>
        <v/>
      </c>
      <c r="H650" s="6">
        <v>7908</v>
      </c>
      <c r="I650" s="10">
        <v>4.4800000000000004</v>
      </c>
      <c r="J650" s="10">
        <v>2.02</v>
      </c>
      <c r="K650" s="4">
        <v>6</v>
      </c>
    </row>
    <row r="651" spans="1:11" x14ac:dyDescent="0.3">
      <c r="A651" s="4">
        <v>650</v>
      </c>
      <c r="B651" t="s">
        <v>9</v>
      </c>
      <c r="C651" s="1">
        <v>45516</v>
      </c>
      <c r="D651" s="1">
        <v>45663</v>
      </c>
      <c r="E651" t="s">
        <v>12</v>
      </c>
      <c r="F651" s="11">
        <f ca="1">IF(HR[[#This Row],[ Employee Status]]="exited",HR[[#This Row],[ExitDate]]-HR[[#This Row],[HireDate]],TODAY()-HR[[#This Row],[HireDate]])/365</f>
        <v>0.40273972602739727</v>
      </c>
      <c r="G651" s="4">
        <f>IF(HR[[#This Row],[ Employee Status]]="still working","",YEAR(HR[[#This Row],[ExitDate]]))</f>
        <v>2025</v>
      </c>
      <c r="H651" s="6">
        <v>13586</v>
      </c>
      <c r="I651" s="10">
        <v>3.7</v>
      </c>
      <c r="J651" s="10">
        <v>4.18</v>
      </c>
      <c r="K651" s="4">
        <v>25</v>
      </c>
    </row>
    <row r="652" spans="1:11" x14ac:dyDescent="0.3">
      <c r="A652" s="4">
        <v>651</v>
      </c>
      <c r="B652" t="s">
        <v>7</v>
      </c>
      <c r="C652" s="1">
        <v>44868</v>
      </c>
      <c r="D652" s="1"/>
      <c r="E652" t="s">
        <v>8</v>
      </c>
      <c r="F652" s="11">
        <f ca="1">IF(HR[[#This Row],[ Employee Status]]="exited",HR[[#This Row],[ExitDate]]-HR[[#This Row],[HireDate]],TODAY()-HR[[#This Row],[HireDate]])/365</f>
        <v>3.6767123287671235</v>
      </c>
      <c r="G652" s="4" t="str">
        <f>IF(HR[[#This Row],[ Employee Status]]="still working","",YEAR(HR[[#This Row],[ExitDate]]))</f>
        <v/>
      </c>
      <c r="H652" s="6">
        <v>14440</v>
      </c>
      <c r="I652" s="10">
        <v>3.26</v>
      </c>
      <c r="J652" s="10">
        <v>3.4</v>
      </c>
      <c r="K652" s="4">
        <v>8</v>
      </c>
    </row>
    <row r="653" spans="1:11" x14ac:dyDescent="0.3">
      <c r="A653" s="4">
        <v>652</v>
      </c>
      <c r="B653" t="s">
        <v>10</v>
      </c>
      <c r="C653" s="1">
        <v>45445</v>
      </c>
      <c r="D653" s="1"/>
      <c r="E653" t="s">
        <v>8</v>
      </c>
      <c r="F653" s="11">
        <f ca="1">IF(HR[[#This Row],[ Employee Status]]="exited",HR[[#This Row],[ExitDate]]-HR[[#This Row],[HireDate]],TODAY()-HR[[#This Row],[HireDate]])/365</f>
        <v>2.095890410958904</v>
      </c>
      <c r="G653" s="4" t="str">
        <f>IF(HR[[#This Row],[ Employee Status]]="still working","",YEAR(HR[[#This Row],[ExitDate]]))</f>
        <v/>
      </c>
      <c r="H653" s="6">
        <v>12713</v>
      </c>
      <c r="I653" s="10">
        <v>2.73</v>
      </c>
      <c r="J653" s="10">
        <v>1.37</v>
      </c>
      <c r="K653" s="4">
        <v>10</v>
      </c>
    </row>
    <row r="654" spans="1:11" x14ac:dyDescent="0.3">
      <c r="A654" s="4">
        <v>653</v>
      </c>
      <c r="B654" t="s">
        <v>14</v>
      </c>
      <c r="C654" s="1">
        <v>45193</v>
      </c>
      <c r="D654" s="1"/>
      <c r="E654" t="s">
        <v>8</v>
      </c>
      <c r="F654" s="11">
        <f ca="1">IF(HR[[#This Row],[ Employee Status]]="exited",HR[[#This Row],[ExitDate]]-HR[[#This Row],[HireDate]],TODAY()-HR[[#This Row],[HireDate]])/365</f>
        <v>2.7863013698630139</v>
      </c>
      <c r="G654" s="4" t="str">
        <f>IF(HR[[#This Row],[ Employee Status]]="still working","",YEAR(HR[[#This Row],[ExitDate]]))</f>
        <v/>
      </c>
      <c r="H654" s="6">
        <v>8622</v>
      </c>
      <c r="I654" s="10">
        <v>2.09</v>
      </c>
      <c r="J654" s="10">
        <v>3.86</v>
      </c>
      <c r="K654" s="4">
        <v>19</v>
      </c>
    </row>
    <row r="655" spans="1:11" x14ac:dyDescent="0.3">
      <c r="A655" s="4">
        <v>654</v>
      </c>
      <c r="B655" t="s">
        <v>7</v>
      </c>
      <c r="C655" s="1">
        <v>45571</v>
      </c>
      <c r="D655" s="1"/>
      <c r="E655" t="s">
        <v>8</v>
      </c>
      <c r="F655" s="11">
        <f ca="1">IF(HR[[#This Row],[ Employee Status]]="exited",HR[[#This Row],[ExitDate]]-HR[[#This Row],[HireDate]],TODAY()-HR[[#This Row],[HireDate]])/365</f>
        <v>1.7506849315068493</v>
      </c>
      <c r="G655" s="4" t="str">
        <f>IF(HR[[#This Row],[ Employee Status]]="still working","",YEAR(HR[[#This Row],[ExitDate]]))</f>
        <v/>
      </c>
      <c r="H655" s="6">
        <v>4058</v>
      </c>
      <c r="I655" s="10">
        <v>2.0699999999999998</v>
      </c>
      <c r="J655" s="10">
        <v>4.45</v>
      </c>
      <c r="K655" s="4">
        <v>10</v>
      </c>
    </row>
    <row r="656" spans="1:11" x14ac:dyDescent="0.3">
      <c r="A656" s="4">
        <v>655</v>
      </c>
      <c r="B656" t="s">
        <v>10</v>
      </c>
      <c r="C656" s="1">
        <v>43183</v>
      </c>
      <c r="D656" s="1"/>
      <c r="E656" t="s">
        <v>8</v>
      </c>
      <c r="F656" s="11">
        <f ca="1">IF(HR[[#This Row],[ Employee Status]]="exited",HR[[#This Row],[ExitDate]]-HR[[#This Row],[HireDate]],TODAY()-HR[[#This Row],[HireDate]])/365</f>
        <v>8.293150684931506</v>
      </c>
      <c r="G656" s="4" t="str">
        <f>IF(HR[[#This Row],[ Employee Status]]="still working","",YEAR(HR[[#This Row],[ExitDate]]))</f>
        <v/>
      </c>
      <c r="H656" s="6">
        <v>3220</v>
      </c>
      <c r="I656" s="10">
        <v>4.25</v>
      </c>
      <c r="J656" s="10">
        <v>4.6500000000000004</v>
      </c>
      <c r="K656" s="4">
        <v>0</v>
      </c>
    </row>
    <row r="657" spans="1:11" x14ac:dyDescent="0.3">
      <c r="A657" s="4">
        <v>656</v>
      </c>
      <c r="B657" t="s">
        <v>13</v>
      </c>
      <c r="C657" s="1">
        <v>44625</v>
      </c>
      <c r="D657" s="1"/>
      <c r="E657" t="s">
        <v>8</v>
      </c>
      <c r="F657" s="11">
        <f ca="1">IF(HR[[#This Row],[ Employee Status]]="exited",HR[[#This Row],[ExitDate]]-HR[[#This Row],[HireDate]],TODAY()-HR[[#This Row],[HireDate]])/365</f>
        <v>4.3424657534246576</v>
      </c>
      <c r="G657" s="4" t="str">
        <f>IF(HR[[#This Row],[ Employee Status]]="still working","",YEAR(HR[[#This Row],[ExitDate]]))</f>
        <v/>
      </c>
      <c r="H657" s="6">
        <v>14169</v>
      </c>
      <c r="I657" s="10">
        <v>3.15</v>
      </c>
      <c r="J657" s="10">
        <v>2.74</v>
      </c>
      <c r="K657" s="4">
        <v>12</v>
      </c>
    </row>
    <row r="658" spans="1:11" x14ac:dyDescent="0.3">
      <c r="A658" s="4">
        <v>657</v>
      </c>
      <c r="B658" t="s">
        <v>10</v>
      </c>
      <c r="C658" s="1">
        <v>44940</v>
      </c>
      <c r="D658" s="1"/>
      <c r="E658" t="s">
        <v>8</v>
      </c>
      <c r="F658" s="11">
        <f ca="1">IF(HR[[#This Row],[ Employee Status]]="exited",HR[[#This Row],[ExitDate]]-HR[[#This Row],[HireDate]],TODAY()-HR[[#This Row],[HireDate]])/365</f>
        <v>3.4794520547945207</v>
      </c>
      <c r="G658" s="4" t="str">
        <f>IF(HR[[#This Row],[ Employee Status]]="still working","",YEAR(HR[[#This Row],[ExitDate]]))</f>
        <v/>
      </c>
      <c r="H658" s="6">
        <v>10237</v>
      </c>
      <c r="I658" s="10">
        <v>2.2599999999999998</v>
      </c>
      <c r="J658" s="10">
        <v>1.69</v>
      </c>
      <c r="K658" s="4">
        <v>29</v>
      </c>
    </row>
    <row r="659" spans="1:11" x14ac:dyDescent="0.3">
      <c r="A659" s="4">
        <v>658</v>
      </c>
      <c r="B659" t="s">
        <v>10</v>
      </c>
      <c r="C659" s="1">
        <v>43829</v>
      </c>
      <c r="D659" s="1"/>
      <c r="E659" t="s">
        <v>8</v>
      </c>
      <c r="F659" s="11">
        <f ca="1">IF(HR[[#This Row],[ Employee Status]]="exited",HR[[#This Row],[ExitDate]]-HR[[#This Row],[HireDate]],TODAY()-HR[[#This Row],[HireDate]])/365</f>
        <v>6.5232876712328771</v>
      </c>
      <c r="G659" s="4" t="str">
        <f>IF(HR[[#This Row],[ Employee Status]]="still working","",YEAR(HR[[#This Row],[ExitDate]]))</f>
        <v/>
      </c>
      <c r="H659" s="6">
        <v>8960</v>
      </c>
      <c r="I659" s="10">
        <v>3.81</v>
      </c>
      <c r="J659" s="10">
        <v>2.5499999999999998</v>
      </c>
      <c r="K659" s="4">
        <v>7</v>
      </c>
    </row>
    <row r="660" spans="1:11" x14ac:dyDescent="0.3">
      <c r="A660" s="4">
        <v>659</v>
      </c>
      <c r="B660" t="s">
        <v>13</v>
      </c>
      <c r="C660" s="1">
        <v>43693</v>
      </c>
      <c r="D660" s="1"/>
      <c r="E660" t="s">
        <v>8</v>
      </c>
      <c r="F660" s="11">
        <f ca="1">IF(HR[[#This Row],[ Employee Status]]="exited",HR[[#This Row],[ExitDate]]-HR[[#This Row],[HireDate]],TODAY()-HR[[#This Row],[HireDate]])/365</f>
        <v>6.8958904109589039</v>
      </c>
      <c r="G660" s="4" t="str">
        <f>IF(HR[[#This Row],[ Employee Status]]="still working","",YEAR(HR[[#This Row],[ExitDate]]))</f>
        <v/>
      </c>
      <c r="H660" s="6">
        <v>9297</v>
      </c>
      <c r="I660" s="10">
        <v>2.46</v>
      </c>
      <c r="J660" s="10">
        <v>4.54</v>
      </c>
      <c r="K660" s="4">
        <v>22</v>
      </c>
    </row>
    <row r="661" spans="1:11" x14ac:dyDescent="0.3">
      <c r="A661" s="4">
        <v>660</v>
      </c>
      <c r="B661" t="s">
        <v>10</v>
      </c>
      <c r="C661" s="1">
        <v>44299</v>
      </c>
      <c r="D661" s="1"/>
      <c r="E661" t="s">
        <v>8</v>
      </c>
      <c r="F661" s="11">
        <f ca="1">IF(HR[[#This Row],[ Employee Status]]="exited",HR[[#This Row],[ExitDate]]-HR[[#This Row],[HireDate]],TODAY()-HR[[#This Row],[HireDate]])/365</f>
        <v>5.2356164383561641</v>
      </c>
      <c r="G661" s="4" t="str">
        <f>IF(HR[[#This Row],[ Employee Status]]="still working","",YEAR(HR[[#This Row],[ExitDate]]))</f>
        <v/>
      </c>
      <c r="H661" s="6">
        <v>3622</v>
      </c>
      <c r="I661" s="10">
        <v>4.99</v>
      </c>
      <c r="J661" s="10">
        <v>3.88</v>
      </c>
      <c r="K661" s="4">
        <v>8</v>
      </c>
    </row>
    <row r="662" spans="1:11" x14ac:dyDescent="0.3">
      <c r="A662" s="4">
        <v>661</v>
      </c>
      <c r="B662" t="s">
        <v>11</v>
      </c>
      <c r="C662" s="1">
        <v>44134</v>
      </c>
      <c r="D662" s="1">
        <v>45498</v>
      </c>
      <c r="E662" t="s">
        <v>12</v>
      </c>
      <c r="F662" s="11">
        <f ca="1">IF(HR[[#This Row],[ Employee Status]]="exited",HR[[#This Row],[ExitDate]]-HR[[#This Row],[HireDate]],TODAY()-HR[[#This Row],[HireDate]])/365</f>
        <v>3.7369863013698632</v>
      </c>
      <c r="G662" s="4">
        <f>IF(HR[[#This Row],[ Employee Status]]="still working","",YEAR(HR[[#This Row],[ExitDate]]))</f>
        <v>2024</v>
      </c>
      <c r="H662" s="6">
        <v>7616</v>
      </c>
      <c r="I662" s="10">
        <v>4.71</v>
      </c>
      <c r="J662" s="10">
        <v>1.1000000000000001</v>
      </c>
      <c r="K662" s="4">
        <v>3</v>
      </c>
    </row>
    <row r="663" spans="1:11" x14ac:dyDescent="0.3">
      <c r="A663" s="4">
        <v>662</v>
      </c>
      <c r="B663" t="s">
        <v>9</v>
      </c>
      <c r="C663" s="1">
        <v>44578</v>
      </c>
      <c r="D663" s="1"/>
      <c r="E663" t="s">
        <v>8</v>
      </c>
      <c r="F663" s="11">
        <f ca="1">IF(HR[[#This Row],[ Employee Status]]="exited",HR[[#This Row],[ExitDate]]-HR[[#This Row],[HireDate]],TODAY()-HR[[#This Row],[HireDate]])/365</f>
        <v>4.4712328767123291</v>
      </c>
      <c r="G663" s="4" t="str">
        <f>IF(HR[[#This Row],[ Employee Status]]="still working","",YEAR(HR[[#This Row],[ExitDate]]))</f>
        <v/>
      </c>
      <c r="H663" s="6">
        <v>3548</v>
      </c>
      <c r="I663" s="10">
        <v>4.28</v>
      </c>
      <c r="J663" s="10">
        <v>2.25</v>
      </c>
      <c r="K663" s="4">
        <v>23</v>
      </c>
    </row>
    <row r="664" spans="1:11" x14ac:dyDescent="0.3">
      <c r="A664" s="4">
        <v>663</v>
      </c>
      <c r="B664" t="s">
        <v>7</v>
      </c>
      <c r="C664" s="1">
        <v>43391</v>
      </c>
      <c r="D664" s="1">
        <v>44537</v>
      </c>
      <c r="E664" t="s">
        <v>12</v>
      </c>
      <c r="F664" s="11">
        <f ca="1">IF(HR[[#This Row],[ Employee Status]]="exited",HR[[#This Row],[ExitDate]]-HR[[#This Row],[HireDate]],TODAY()-HR[[#This Row],[HireDate]])/365</f>
        <v>3.1397260273972605</v>
      </c>
      <c r="G664" s="4">
        <f>IF(HR[[#This Row],[ Employee Status]]="still working","",YEAR(HR[[#This Row],[ExitDate]]))</f>
        <v>2021</v>
      </c>
      <c r="H664" s="6">
        <v>4174</v>
      </c>
      <c r="I664" s="10">
        <v>4.66</v>
      </c>
      <c r="J664" s="10">
        <v>1.61</v>
      </c>
      <c r="K664" s="4">
        <v>17</v>
      </c>
    </row>
    <row r="665" spans="1:11" x14ac:dyDescent="0.3">
      <c r="A665" s="4">
        <v>664</v>
      </c>
      <c r="B665" t="s">
        <v>13</v>
      </c>
      <c r="C665" s="1">
        <v>44811</v>
      </c>
      <c r="D665" s="1"/>
      <c r="E665" t="s">
        <v>8</v>
      </c>
      <c r="F665" s="11">
        <f ca="1">IF(HR[[#This Row],[ Employee Status]]="exited",HR[[#This Row],[ExitDate]]-HR[[#This Row],[HireDate]],TODAY()-HR[[#This Row],[HireDate]])/365</f>
        <v>3.8328767123287673</v>
      </c>
      <c r="G665" s="4" t="str">
        <f>IF(HR[[#This Row],[ Employee Status]]="still working","",YEAR(HR[[#This Row],[ExitDate]]))</f>
        <v/>
      </c>
      <c r="H665" s="6">
        <v>7588</v>
      </c>
      <c r="I665" s="10">
        <v>3.73</v>
      </c>
      <c r="J665" s="10">
        <v>1.83</v>
      </c>
      <c r="K665" s="4">
        <v>5</v>
      </c>
    </row>
    <row r="666" spans="1:11" x14ac:dyDescent="0.3">
      <c r="A666" s="4">
        <v>665</v>
      </c>
      <c r="B666" t="s">
        <v>14</v>
      </c>
      <c r="C666" s="1">
        <v>43242</v>
      </c>
      <c r="D666" s="1"/>
      <c r="E666" t="s">
        <v>8</v>
      </c>
      <c r="F666" s="11">
        <f ca="1">IF(HR[[#This Row],[ Employee Status]]="exited",HR[[#This Row],[ExitDate]]-HR[[#This Row],[HireDate]],TODAY()-HR[[#This Row],[HireDate]])/365</f>
        <v>8.131506849315068</v>
      </c>
      <c r="G666" s="4" t="str">
        <f>IF(HR[[#This Row],[ Employee Status]]="still working","",YEAR(HR[[#This Row],[ExitDate]]))</f>
        <v/>
      </c>
      <c r="H666" s="6">
        <v>5933</v>
      </c>
      <c r="I666" s="10">
        <v>3.19</v>
      </c>
      <c r="J666" s="10">
        <v>1.03</v>
      </c>
      <c r="K666" s="4">
        <v>29</v>
      </c>
    </row>
    <row r="667" spans="1:11" x14ac:dyDescent="0.3">
      <c r="A667" s="4">
        <v>666</v>
      </c>
      <c r="B667" t="s">
        <v>13</v>
      </c>
      <c r="C667" s="1">
        <v>43326</v>
      </c>
      <c r="D667" s="1"/>
      <c r="E667" t="s">
        <v>8</v>
      </c>
      <c r="F667" s="11">
        <f ca="1">IF(HR[[#This Row],[ Employee Status]]="exited",HR[[#This Row],[ExitDate]]-HR[[#This Row],[HireDate]],TODAY()-HR[[#This Row],[HireDate]])/365</f>
        <v>7.9013698630136986</v>
      </c>
      <c r="G667" s="4" t="str">
        <f>IF(HR[[#This Row],[ Employee Status]]="still working","",YEAR(HR[[#This Row],[ExitDate]]))</f>
        <v/>
      </c>
      <c r="H667" s="6">
        <v>5371</v>
      </c>
      <c r="I667" s="10">
        <v>4.3</v>
      </c>
      <c r="J667" s="10">
        <v>1.57</v>
      </c>
      <c r="K667" s="4">
        <v>18</v>
      </c>
    </row>
    <row r="668" spans="1:11" x14ac:dyDescent="0.3">
      <c r="A668" s="4">
        <v>667</v>
      </c>
      <c r="B668" t="s">
        <v>11</v>
      </c>
      <c r="C668" s="1">
        <v>45191</v>
      </c>
      <c r="D668" s="1">
        <v>45892</v>
      </c>
      <c r="E668" t="s">
        <v>12</v>
      </c>
      <c r="F668" s="11">
        <f ca="1">IF(HR[[#This Row],[ Employee Status]]="exited",HR[[#This Row],[ExitDate]]-HR[[#This Row],[HireDate]],TODAY()-HR[[#This Row],[HireDate]])/365</f>
        <v>1.9205479452054794</v>
      </c>
      <c r="G668" s="4">
        <f>IF(HR[[#This Row],[ Employee Status]]="still working","",YEAR(HR[[#This Row],[ExitDate]]))</f>
        <v>2025</v>
      </c>
      <c r="H668" s="6">
        <v>13544</v>
      </c>
      <c r="I668" s="10">
        <v>2.33</v>
      </c>
      <c r="J668" s="10">
        <v>1.99</v>
      </c>
      <c r="K668" s="4">
        <v>27</v>
      </c>
    </row>
    <row r="669" spans="1:11" x14ac:dyDescent="0.3">
      <c r="A669" s="4">
        <v>668</v>
      </c>
      <c r="B669" t="s">
        <v>14</v>
      </c>
      <c r="C669" s="1">
        <v>44556</v>
      </c>
      <c r="D669" s="1"/>
      <c r="E669" t="s">
        <v>8</v>
      </c>
      <c r="F669" s="11">
        <f ca="1">IF(HR[[#This Row],[ Employee Status]]="exited",HR[[#This Row],[ExitDate]]-HR[[#This Row],[HireDate]],TODAY()-HR[[#This Row],[HireDate]])/365</f>
        <v>4.5315068493150683</v>
      </c>
      <c r="G669" s="4" t="str">
        <f>IF(HR[[#This Row],[ Employee Status]]="still working","",YEAR(HR[[#This Row],[ExitDate]]))</f>
        <v/>
      </c>
      <c r="H669" s="6">
        <v>4577</v>
      </c>
      <c r="I669" s="10">
        <v>4.6100000000000003</v>
      </c>
      <c r="J669" s="10">
        <v>4.1399999999999997</v>
      </c>
      <c r="K669" s="4">
        <v>3</v>
      </c>
    </row>
    <row r="670" spans="1:11" x14ac:dyDescent="0.3">
      <c r="A670" s="4">
        <v>669</v>
      </c>
      <c r="B670" t="s">
        <v>10</v>
      </c>
      <c r="C670" s="1">
        <v>43682</v>
      </c>
      <c r="D670" s="1"/>
      <c r="E670" t="s">
        <v>8</v>
      </c>
      <c r="F670" s="11">
        <f ca="1">IF(HR[[#This Row],[ Employee Status]]="exited",HR[[#This Row],[ExitDate]]-HR[[#This Row],[HireDate]],TODAY()-HR[[#This Row],[HireDate]])/365</f>
        <v>6.9260273972602739</v>
      </c>
      <c r="G670" s="4" t="str">
        <f>IF(HR[[#This Row],[ Employee Status]]="still working","",YEAR(HR[[#This Row],[ExitDate]]))</f>
        <v/>
      </c>
      <c r="H670" s="6">
        <v>9358</v>
      </c>
      <c r="I670" s="10">
        <v>2.16</v>
      </c>
      <c r="J670" s="10">
        <v>3.68</v>
      </c>
      <c r="K670" s="4">
        <v>10</v>
      </c>
    </row>
    <row r="671" spans="1:11" x14ac:dyDescent="0.3">
      <c r="A671" s="4">
        <v>670</v>
      </c>
      <c r="B671" t="s">
        <v>14</v>
      </c>
      <c r="C671" s="1">
        <v>43845</v>
      </c>
      <c r="D671" s="1"/>
      <c r="E671" t="s">
        <v>8</v>
      </c>
      <c r="F671" s="11">
        <f ca="1">IF(HR[[#This Row],[ Employee Status]]="exited",HR[[#This Row],[ExitDate]]-HR[[#This Row],[HireDate]],TODAY()-HR[[#This Row],[HireDate]])/365</f>
        <v>6.4794520547945202</v>
      </c>
      <c r="G671" s="4" t="str">
        <f>IF(HR[[#This Row],[ Employee Status]]="still working","",YEAR(HR[[#This Row],[ExitDate]]))</f>
        <v/>
      </c>
      <c r="H671" s="6">
        <v>10037</v>
      </c>
      <c r="I671" s="10">
        <v>4.58</v>
      </c>
      <c r="J671" s="10">
        <v>1.55</v>
      </c>
      <c r="K671" s="4">
        <v>25</v>
      </c>
    </row>
    <row r="672" spans="1:11" x14ac:dyDescent="0.3">
      <c r="A672" s="4">
        <v>671</v>
      </c>
      <c r="B672" t="s">
        <v>11</v>
      </c>
      <c r="C672" s="1">
        <v>45222</v>
      </c>
      <c r="D672" s="1"/>
      <c r="E672" t="s">
        <v>8</v>
      </c>
      <c r="F672" s="11">
        <f ca="1">IF(HR[[#This Row],[ Employee Status]]="exited",HR[[#This Row],[ExitDate]]-HR[[#This Row],[HireDate]],TODAY()-HR[[#This Row],[HireDate]])/365</f>
        <v>2.7068493150684931</v>
      </c>
      <c r="G672" s="4" t="str">
        <f>IF(HR[[#This Row],[ Employee Status]]="still working","",YEAR(HR[[#This Row],[ExitDate]]))</f>
        <v/>
      </c>
      <c r="H672" s="6">
        <v>12399</v>
      </c>
      <c r="I672" s="10">
        <v>4.6100000000000003</v>
      </c>
      <c r="J672" s="10">
        <v>2.16</v>
      </c>
      <c r="K672" s="4">
        <v>21</v>
      </c>
    </row>
    <row r="673" spans="1:11" x14ac:dyDescent="0.3">
      <c r="A673" s="4">
        <v>672</v>
      </c>
      <c r="B673" t="s">
        <v>13</v>
      </c>
      <c r="C673" s="1">
        <v>44663</v>
      </c>
      <c r="D673" s="1">
        <v>45192</v>
      </c>
      <c r="E673" t="s">
        <v>12</v>
      </c>
      <c r="F673" s="11">
        <f ca="1">IF(HR[[#This Row],[ Employee Status]]="exited",HR[[#This Row],[ExitDate]]-HR[[#This Row],[HireDate]],TODAY()-HR[[#This Row],[HireDate]])/365</f>
        <v>1.4493150684931506</v>
      </c>
      <c r="G673" s="4">
        <f>IF(HR[[#This Row],[ Employee Status]]="still working","",YEAR(HR[[#This Row],[ExitDate]]))</f>
        <v>2023</v>
      </c>
      <c r="H673" s="6">
        <v>12836</v>
      </c>
      <c r="I673" s="10">
        <v>4.03</v>
      </c>
      <c r="J673" s="10">
        <v>2.0099999999999998</v>
      </c>
      <c r="K673" s="4">
        <v>26</v>
      </c>
    </row>
    <row r="674" spans="1:11" x14ac:dyDescent="0.3">
      <c r="A674" s="4">
        <v>673</v>
      </c>
      <c r="B674" t="s">
        <v>7</v>
      </c>
      <c r="C674" s="1">
        <v>43700</v>
      </c>
      <c r="D674" s="1"/>
      <c r="E674" t="s">
        <v>8</v>
      </c>
      <c r="F674" s="11">
        <f ca="1">IF(HR[[#This Row],[ Employee Status]]="exited",HR[[#This Row],[ExitDate]]-HR[[#This Row],[HireDate]],TODAY()-HR[[#This Row],[HireDate]])/365</f>
        <v>6.8767123287671232</v>
      </c>
      <c r="G674" s="4" t="str">
        <f>IF(HR[[#This Row],[ Employee Status]]="still working","",YEAR(HR[[#This Row],[ExitDate]]))</f>
        <v/>
      </c>
      <c r="H674" s="6">
        <v>3615</v>
      </c>
      <c r="I674" s="10">
        <v>2.65</v>
      </c>
      <c r="J674" s="10">
        <v>1.35</v>
      </c>
      <c r="K674" s="4">
        <v>22</v>
      </c>
    </row>
    <row r="675" spans="1:11" x14ac:dyDescent="0.3">
      <c r="A675" s="4">
        <v>674</v>
      </c>
      <c r="B675" t="s">
        <v>14</v>
      </c>
      <c r="C675" s="1">
        <v>44018</v>
      </c>
      <c r="D675" s="1"/>
      <c r="E675" t="s">
        <v>8</v>
      </c>
      <c r="F675" s="11">
        <f ca="1">IF(HR[[#This Row],[ Employee Status]]="exited",HR[[#This Row],[ExitDate]]-HR[[#This Row],[HireDate]],TODAY()-HR[[#This Row],[HireDate]])/365</f>
        <v>6.0054794520547947</v>
      </c>
      <c r="G675" s="4" t="str">
        <f>IF(HR[[#This Row],[ Employee Status]]="still working","",YEAR(HR[[#This Row],[ExitDate]]))</f>
        <v/>
      </c>
      <c r="H675" s="6">
        <v>8417</v>
      </c>
      <c r="I675" s="10">
        <v>4.16</v>
      </c>
      <c r="J675" s="10">
        <v>3.04</v>
      </c>
      <c r="K675" s="4">
        <v>16</v>
      </c>
    </row>
    <row r="676" spans="1:11" x14ac:dyDescent="0.3">
      <c r="A676" s="4">
        <v>675</v>
      </c>
      <c r="B676" t="s">
        <v>7</v>
      </c>
      <c r="C676" s="1">
        <v>43409</v>
      </c>
      <c r="D676" s="1"/>
      <c r="E676" t="s">
        <v>8</v>
      </c>
      <c r="F676" s="11">
        <f ca="1">IF(HR[[#This Row],[ Employee Status]]="exited",HR[[#This Row],[ExitDate]]-HR[[#This Row],[HireDate]],TODAY()-HR[[#This Row],[HireDate]])/365</f>
        <v>7.6739726027397257</v>
      </c>
      <c r="G676" s="4" t="str">
        <f>IF(HR[[#This Row],[ Employee Status]]="still working","",YEAR(HR[[#This Row],[ExitDate]]))</f>
        <v/>
      </c>
      <c r="H676" s="6">
        <v>12775</v>
      </c>
      <c r="I676" s="10">
        <v>2.3199999999999998</v>
      </c>
      <c r="J676" s="10">
        <v>4.3600000000000003</v>
      </c>
      <c r="K676" s="4">
        <v>15</v>
      </c>
    </row>
    <row r="677" spans="1:11" x14ac:dyDescent="0.3">
      <c r="A677" s="4">
        <v>676</v>
      </c>
      <c r="B677" t="s">
        <v>13</v>
      </c>
      <c r="C677" s="1">
        <v>44975</v>
      </c>
      <c r="D677" s="1"/>
      <c r="E677" t="s">
        <v>8</v>
      </c>
      <c r="F677" s="11">
        <f ca="1">IF(HR[[#This Row],[ Employee Status]]="exited",HR[[#This Row],[ExitDate]]-HR[[#This Row],[HireDate]],TODAY()-HR[[#This Row],[HireDate]])/365</f>
        <v>3.3835616438356166</v>
      </c>
      <c r="G677" s="4" t="str">
        <f>IF(HR[[#This Row],[ Employee Status]]="still working","",YEAR(HR[[#This Row],[ExitDate]]))</f>
        <v/>
      </c>
      <c r="H677" s="6">
        <v>5939</v>
      </c>
      <c r="I677" s="10">
        <v>3.22</v>
      </c>
      <c r="J677" s="10">
        <v>4.55</v>
      </c>
      <c r="K677" s="4">
        <v>14</v>
      </c>
    </row>
    <row r="678" spans="1:11" x14ac:dyDescent="0.3">
      <c r="A678" s="4">
        <v>677</v>
      </c>
      <c r="B678" t="s">
        <v>14</v>
      </c>
      <c r="C678" s="1">
        <v>43896</v>
      </c>
      <c r="D678" s="1"/>
      <c r="E678" t="s">
        <v>8</v>
      </c>
      <c r="F678" s="11">
        <f ca="1">IF(HR[[#This Row],[ Employee Status]]="exited",HR[[#This Row],[ExitDate]]-HR[[#This Row],[HireDate]],TODAY()-HR[[#This Row],[HireDate]])/365</f>
        <v>6.3397260273972602</v>
      </c>
      <c r="G678" s="4" t="str">
        <f>IF(HR[[#This Row],[ Employee Status]]="still working","",YEAR(HR[[#This Row],[ExitDate]]))</f>
        <v/>
      </c>
      <c r="H678" s="6">
        <v>9414</v>
      </c>
      <c r="I678" s="10">
        <v>4.09</v>
      </c>
      <c r="J678" s="10">
        <v>3.52</v>
      </c>
      <c r="K678" s="4">
        <v>12</v>
      </c>
    </row>
    <row r="679" spans="1:11" x14ac:dyDescent="0.3">
      <c r="A679" s="4">
        <v>678</v>
      </c>
      <c r="B679" t="s">
        <v>7</v>
      </c>
      <c r="C679" s="1">
        <v>45525</v>
      </c>
      <c r="D679" s="1"/>
      <c r="E679" t="s">
        <v>8</v>
      </c>
      <c r="F679" s="11">
        <f ca="1">IF(HR[[#This Row],[ Employee Status]]="exited",HR[[#This Row],[ExitDate]]-HR[[#This Row],[HireDate]],TODAY()-HR[[#This Row],[HireDate]])/365</f>
        <v>1.8767123287671232</v>
      </c>
      <c r="G679" s="4" t="str">
        <f>IF(HR[[#This Row],[ Employee Status]]="still working","",YEAR(HR[[#This Row],[ExitDate]]))</f>
        <v/>
      </c>
      <c r="H679" s="6">
        <v>13143</v>
      </c>
      <c r="I679" s="10">
        <v>2.66</v>
      </c>
      <c r="J679" s="10">
        <v>1.22</v>
      </c>
      <c r="K679" s="4">
        <v>14</v>
      </c>
    </row>
    <row r="680" spans="1:11" x14ac:dyDescent="0.3">
      <c r="A680" s="4">
        <v>679</v>
      </c>
      <c r="B680" t="s">
        <v>13</v>
      </c>
      <c r="C680" s="1">
        <v>43711</v>
      </c>
      <c r="D680" s="1"/>
      <c r="E680" t="s">
        <v>8</v>
      </c>
      <c r="F680" s="11">
        <f ca="1">IF(HR[[#This Row],[ Employee Status]]="exited",HR[[#This Row],[ExitDate]]-HR[[#This Row],[HireDate]],TODAY()-HR[[#This Row],[HireDate]])/365</f>
        <v>6.8465753424657532</v>
      </c>
      <c r="G680" s="4" t="str">
        <f>IF(HR[[#This Row],[ Employee Status]]="still working","",YEAR(HR[[#This Row],[ExitDate]]))</f>
        <v/>
      </c>
      <c r="H680" s="6">
        <v>10265</v>
      </c>
      <c r="I680" s="10">
        <v>2.1</v>
      </c>
      <c r="J680" s="10">
        <v>1.49</v>
      </c>
      <c r="K680" s="4">
        <v>24</v>
      </c>
    </row>
    <row r="681" spans="1:11" x14ac:dyDescent="0.3">
      <c r="A681" s="4">
        <v>680</v>
      </c>
      <c r="B681" t="s">
        <v>14</v>
      </c>
      <c r="C681" s="1">
        <v>43404</v>
      </c>
      <c r="D681" s="1"/>
      <c r="E681" t="s">
        <v>8</v>
      </c>
      <c r="F681" s="11">
        <f ca="1">IF(HR[[#This Row],[ Employee Status]]="exited",HR[[#This Row],[ExitDate]]-HR[[#This Row],[HireDate]],TODAY()-HR[[#This Row],[HireDate]])/365</f>
        <v>7.6876712328767125</v>
      </c>
      <c r="G681" s="4" t="str">
        <f>IF(HR[[#This Row],[ Employee Status]]="still working","",YEAR(HR[[#This Row],[ExitDate]]))</f>
        <v/>
      </c>
      <c r="H681" s="6">
        <v>14831</v>
      </c>
      <c r="I681" s="10">
        <v>3.23</v>
      </c>
      <c r="J681" s="10">
        <v>4.2699999999999996</v>
      </c>
      <c r="K681" s="4">
        <v>4</v>
      </c>
    </row>
    <row r="682" spans="1:11" x14ac:dyDescent="0.3">
      <c r="A682" s="4">
        <v>681</v>
      </c>
      <c r="B682" t="s">
        <v>10</v>
      </c>
      <c r="C682" s="1">
        <v>44843</v>
      </c>
      <c r="D682" s="1">
        <v>46262</v>
      </c>
      <c r="E682" t="s">
        <v>12</v>
      </c>
      <c r="F682" s="11">
        <f ca="1">IF(HR[[#This Row],[ Employee Status]]="exited",HR[[#This Row],[ExitDate]]-HR[[#This Row],[HireDate]],TODAY()-HR[[#This Row],[HireDate]])/365</f>
        <v>3.8876712328767122</v>
      </c>
      <c r="G682" s="4">
        <f>IF(HR[[#This Row],[ Employee Status]]="still working","",YEAR(HR[[#This Row],[ExitDate]]))</f>
        <v>2026</v>
      </c>
      <c r="H682" s="6">
        <v>6199</v>
      </c>
      <c r="I682" s="10">
        <v>2.77</v>
      </c>
      <c r="J682" s="10">
        <v>4.01</v>
      </c>
      <c r="K682" s="4">
        <v>20</v>
      </c>
    </row>
    <row r="683" spans="1:11" x14ac:dyDescent="0.3">
      <c r="A683" s="4">
        <v>682</v>
      </c>
      <c r="B683" t="s">
        <v>11</v>
      </c>
      <c r="C683" s="1">
        <v>43574</v>
      </c>
      <c r="D683" s="1"/>
      <c r="E683" t="s">
        <v>8</v>
      </c>
      <c r="F683" s="11">
        <f ca="1">IF(HR[[#This Row],[ Employee Status]]="exited",HR[[#This Row],[ExitDate]]-HR[[#This Row],[HireDate]],TODAY()-HR[[#This Row],[HireDate]])/365</f>
        <v>7.2219178082191782</v>
      </c>
      <c r="G683" s="4" t="str">
        <f>IF(HR[[#This Row],[ Employee Status]]="still working","",YEAR(HR[[#This Row],[ExitDate]]))</f>
        <v/>
      </c>
      <c r="H683" s="6">
        <v>13832</v>
      </c>
      <c r="I683" s="10">
        <v>4.76</v>
      </c>
      <c r="J683" s="10">
        <v>2.38</v>
      </c>
      <c r="K683" s="4">
        <v>8</v>
      </c>
    </row>
    <row r="684" spans="1:11" x14ac:dyDescent="0.3">
      <c r="A684" s="4">
        <v>683</v>
      </c>
      <c r="B684" t="s">
        <v>13</v>
      </c>
      <c r="C684" s="1">
        <v>44413</v>
      </c>
      <c r="D684" s="1"/>
      <c r="E684" t="s">
        <v>8</v>
      </c>
      <c r="F684" s="11">
        <f ca="1">IF(HR[[#This Row],[ Employee Status]]="exited",HR[[#This Row],[ExitDate]]-HR[[#This Row],[HireDate]],TODAY()-HR[[#This Row],[HireDate]])/365</f>
        <v>4.9232876712328766</v>
      </c>
      <c r="G684" s="4" t="str">
        <f>IF(HR[[#This Row],[ Employee Status]]="still working","",YEAR(HR[[#This Row],[ExitDate]]))</f>
        <v/>
      </c>
      <c r="H684" s="6">
        <v>9852</v>
      </c>
      <c r="I684" s="10">
        <v>3.66</v>
      </c>
      <c r="J684" s="10">
        <v>3.05</v>
      </c>
      <c r="K684" s="4">
        <v>21</v>
      </c>
    </row>
    <row r="685" spans="1:11" x14ac:dyDescent="0.3">
      <c r="A685" s="4">
        <v>684</v>
      </c>
      <c r="B685" t="s">
        <v>7</v>
      </c>
      <c r="C685" s="1">
        <v>44130</v>
      </c>
      <c r="D685" s="1"/>
      <c r="E685" t="s">
        <v>8</v>
      </c>
      <c r="F685" s="11">
        <f ca="1">IF(HR[[#This Row],[ Employee Status]]="exited",HR[[#This Row],[ExitDate]]-HR[[#This Row],[HireDate]],TODAY()-HR[[#This Row],[HireDate]])/365</f>
        <v>5.6986301369863011</v>
      </c>
      <c r="G685" s="4" t="str">
        <f>IF(HR[[#This Row],[ Employee Status]]="still working","",YEAR(HR[[#This Row],[ExitDate]]))</f>
        <v/>
      </c>
      <c r="H685" s="6">
        <v>12637</v>
      </c>
      <c r="I685" s="10">
        <v>4.17</v>
      </c>
      <c r="J685" s="10">
        <v>1.93</v>
      </c>
      <c r="K685" s="4">
        <v>0</v>
      </c>
    </row>
    <row r="686" spans="1:11" x14ac:dyDescent="0.3">
      <c r="A686" s="4">
        <v>685</v>
      </c>
      <c r="B686" t="s">
        <v>9</v>
      </c>
      <c r="C686" s="1">
        <v>44357</v>
      </c>
      <c r="D686" s="1"/>
      <c r="E686" t="s">
        <v>8</v>
      </c>
      <c r="F686" s="11">
        <f ca="1">IF(HR[[#This Row],[ Employee Status]]="exited",HR[[#This Row],[ExitDate]]-HR[[#This Row],[HireDate]],TODAY()-HR[[#This Row],[HireDate]])/365</f>
        <v>5.0767123287671234</v>
      </c>
      <c r="G686" s="4" t="str">
        <f>IF(HR[[#This Row],[ Employee Status]]="still working","",YEAR(HR[[#This Row],[ExitDate]]))</f>
        <v/>
      </c>
      <c r="H686" s="6">
        <v>13364</v>
      </c>
      <c r="I686" s="10">
        <v>3.86</v>
      </c>
      <c r="J686" s="10">
        <v>3.87</v>
      </c>
      <c r="K686" s="4">
        <v>8</v>
      </c>
    </row>
    <row r="687" spans="1:11" x14ac:dyDescent="0.3">
      <c r="A687" s="4">
        <v>686</v>
      </c>
      <c r="B687" t="s">
        <v>9</v>
      </c>
      <c r="C687" s="1">
        <v>44471</v>
      </c>
      <c r="D687" s="1"/>
      <c r="E687" t="s">
        <v>8</v>
      </c>
      <c r="F687" s="11">
        <f ca="1">IF(HR[[#This Row],[ Employee Status]]="exited",HR[[#This Row],[ExitDate]]-HR[[#This Row],[HireDate]],TODAY()-HR[[#This Row],[HireDate]])/365</f>
        <v>4.7643835616438359</v>
      </c>
      <c r="G687" s="4" t="str">
        <f>IF(HR[[#This Row],[ Employee Status]]="still working","",YEAR(HR[[#This Row],[ExitDate]]))</f>
        <v/>
      </c>
      <c r="H687" s="6">
        <v>14845</v>
      </c>
      <c r="I687" s="10">
        <v>4.25</v>
      </c>
      <c r="J687" s="10">
        <v>2.1</v>
      </c>
      <c r="K687" s="4">
        <v>16</v>
      </c>
    </row>
    <row r="688" spans="1:11" x14ac:dyDescent="0.3">
      <c r="A688" s="4">
        <v>687</v>
      </c>
      <c r="B688" t="s">
        <v>10</v>
      </c>
      <c r="C688" s="1">
        <v>43777</v>
      </c>
      <c r="D688" s="1"/>
      <c r="E688" t="s">
        <v>8</v>
      </c>
      <c r="F688" s="11">
        <f ca="1">IF(HR[[#This Row],[ Employee Status]]="exited",HR[[#This Row],[ExitDate]]-HR[[#This Row],[HireDate]],TODAY()-HR[[#This Row],[HireDate]])/365</f>
        <v>6.6657534246575345</v>
      </c>
      <c r="G688" s="4" t="str">
        <f>IF(HR[[#This Row],[ Employee Status]]="still working","",YEAR(HR[[#This Row],[ExitDate]]))</f>
        <v/>
      </c>
      <c r="H688" s="6">
        <v>5741</v>
      </c>
      <c r="I688" s="10">
        <v>4.03</v>
      </c>
      <c r="J688" s="10">
        <v>3.04</v>
      </c>
      <c r="K688" s="4">
        <v>14</v>
      </c>
    </row>
    <row r="689" spans="1:11" x14ac:dyDescent="0.3">
      <c r="A689" s="4">
        <v>688</v>
      </c>
      <c r="B689" t="s">
        <v>11</v>
      </c>
      <c r="C689" s="1">
        <v>43408</v>
      </c>
      <c r="D689" s="1">
        <v>44696</v>
      </c>
      <c r="E689" t="s">
        <v>12</v>
      </c>
      <c r="F689" s="11">
        <f ca="1">IF(HR[[#This Row],[ Employee Status]]="exited",HR[[#This Row],[ExitDate]]-HR[[#This Row],[HireDate]],TODAY()-HR[[#This Row],[HireDate]])/365</f>
        <v>3.5287671232876714</v>
      </c>
      <c r="G689" s="4">
        <f>IF(HR[[#This Row],[ Employee Status]]="still working","",YEAR(HR[[#This Row],[ExitDate]]))</f>
        <v>2022</v>
      </c>
      <c r="H689" s="6">
        <v>8960</v>
      </c>
      <c r="I689" s="10">
        <v>2.11</v>
      </c>
      <c r="J689" s="10">
        <v>4.2300000000000004</v>
      </c>
      <c r="K689" s="4">
        <v>17</v>
      </c>
    </row>
    <row r="690" spans="1:11" x14ac:dyDescent="0.3">
      <c r="A690" s="4">
        <v>689</v>
      </c>
      <c r="B690" t="s">
        <v>11</v>
      </c>
      <c r="C690" s="1">
        <v>45387</v>
      </c>
      <c r="D690" s="1">
        <v>46410</v>
      </c>
      <c r="E690" t="s">
        <v>12</v>
      </c>
      <c r="F690" s="11">
        <f ca="1">IF(HR[[#This Row],[ Employee Status]]="exited",HR[[#This Row],[ExitDate]]-HR[[#This Row],[HireDate]],TODAY()-HR[[#This Row],[HireDate]])/365</f>
        <v>2.8027397260273972</v>
      </c>
      <c r="G690" s="4">
        <f>IF(HR[[#This Row],[ Employee Status]]="still working","",YEAR(HR[[#This Row],[ExitDate]]))</f>
        <v>2027</v>
      </c>
      <c r="H690" s="6">
        <v>7565</v>
      </c>
      <c r="I690" s="10">
        <v>3.2</v>
      </c>
      <c r="J690" s="10">
        <v>4.45</v>
      </c>
      <c r="K690" s="4">
        <v>28</v>
      </c>
    </row>
    <row r="691" spans="1:11" x14ac:dyDescent="0.3">
      <c r="A691" s="4">
        <v>690</v>
      </c>
      <c r="B691" t="s">
        <v>11</v>
      </c>
      <c r="C691" s="1">
        <v>45406</v>
      </c>
      <c r="D691" s="1"/>
      <c r="E691" t="s">
        <v>8</v>
      </c>
      <c r="F691" s="11">
        <f ca="1">IF(HR[[#This Row],[ Employee Status]]="exited",HR[[#This Row],[ExitDate]]-HR[[#This Row],[HireDate]],TODAY()-HR[[#This Row],[HireDate]])/365</f>
        <v>2.2027397260273971</v>
      </c>
      <c r="G691" s="4" t="str">
        <f>IF(HR[[#This Row],[ Employee Status]]="still working","",YEAR(HR[[#This Row],[ExitDate]]))</f>
        <v/>
      </c>
      <c r="H691" s="6">
        <v>8960</v>
      </c>
      <c r="I691" s="10">
        <v>2.7</v>
      </c>
      <c r="J691" s="10">
        <v>4.28</v>
      </c>
      <c r="K691" s="4">
        <v>19</v>
      </c>
    </row>
    <row r="692" spans="1:11" x14ac:dyDescent="0.3">
      <c r="A692" s="4">
        <v>691</v>
      </c>
      <c r="B692" t="s">
        <v>11</v>
      </c>
      <c r="C692" s="1">
        <v>43670</v>
      </c>
      <c r="D692" s="1">
        <v>44745</v>
      </c>
      <c r="E692" t="s">
        <v>12</v>
      </c>
      <c r="F692" s="11">
        <f ca="1">IF(HR[[#This Row],[ Employee Status]]="exited",HR[[#This Row],[ExitDate]]-HR[[#This Row],[HireDate]],TODAY()-HR[[#This Row],[HireDate]])/365</f>
        <v>2.9452054794520546</v>
      </c>
      <c r="G692" s="4">
        <f>IF(HR[[#This Row],[ Employee Status]]="still working","",YEAR(HR[[#This Row],[ExitDate]]))</f>
        <v>2022</v>
      </c>
      <c r="H692" s="6">
        <v>3240</v>
      </c>
      <c r="I692" s="10">
        <v>2.5499999999999998</v>
      </c>
      <c r="J692" s="10">
        <v>2.71</v>
      </c>
      <c r="K692" s="4">
        <v>24</v>
      </c>
    </row>
    <row r="693" spans="1:11" x14ac:dyDescent="0.3">
      <c r="A693" s="4">
        <v>692</v>
      </c>
      <c r="B693" t="s">
        <v>14</v>
      </c>
      <c r="C693" s="1">
        <v>45456</v>
      </c>
      <c r="D693" s="1"/>
      <c r="E693" t="s">
        <v>8</v>
      </c>
      <c r="F693" s="11">
        <f ca="1">IF(HR[[#This Row],[ Employee Status]]="exited",HR[[#This Row],[ExitDate]]-HR[[#This Row],[HireDate]],TODAY()-HR[[#This Row],[HireDate]])/365</f>
        <v>2.0657534246575344</v>
      </c>
      <c r="G693" s="4" t="str">
        <f>IF(HR[[#This Row],[ Employee Status]]="still working","",YEAR(HR[[#This Row],[ExitDate]]))</f>
        <v/>
      </c>
      <c r="H693" s="6">
        <v>9429</v>
      </c>
      <c r="I693" s="10">
        <v>4.42</v>
      </c>
      <c r="J693" s="10">
        <v>3.95</v>
      </c>
      <c r="K693" s="4">
        <v>9</v>
      </c>
    </row>
    <row r="694" spans="1:11" x14ac:dyDescent="0.3">
      <c r="A694" s="4">
        <v>693</v>
      </c>
      <c r="B694" t="s">
        <v>11</v>
      </c>
      <c r="C694" s="1">
        <v>44010</v>
      </c>
      <c r="D694" s="1"/>
      <c r="E694" t="s">
        <v>8</v>
      </c>
      <c r="F694" s="11">
        <f ca="1">IF(HR[[#This Row],[ Employee Status]]="exited",HR[[#This Row],[ExitDate]]-HR[[#This Row],[HireDate]],TODAY()-HR[[#This Row],[HireDate]])/365</f>
        <v>6.0273972602739727</v>
      </c>
      <c r="G694" s="4" t="str">
        <f>IF(HR[[#This Row],[ Employee Status]]="still working","",YEAR(HR[[#This Row],[ExitDate]]))</f>
        <v/>
      </c>
      <c r="H694" s="6">
        <v>5159</v>
      </c>
      <c r="I694" s="10">
        <v>2.94</v>
      </c>
      <c r="J694" s="10">
        <v>3.7</v>
      </c>
      <c r="K694" s="4">
        <v>14</v>
      </c>
    </row>
    <row r="695" spans="1:11" x14ac:dyDescent="0.3">
      <c r="A695" s="4">
        <v>694</v>
      </c>
      <c r="B695" t="s">
        <v>11</v>
      </c>
      <c r="C695" s="1">
        <v>43759</v>
      </c>
      <c r="D695" s="1">
        <v>45233</v>
      </c>
      <c r="E695" t="s">
        <v>12</v>
      </c>
      <c r="F695" s="11">
        <f ca="1">IF(HR[[#This Row],[ Employee Status]]="exited",HR[[#This Row],[ExitDate]]-HR[[#This Row],[HireDate]],TODAY()-HR[[#This Row],[HireDate]])/365</f>
        <v>4.0383561643835613</v>
      </c>
      <c r="G695" s="4">
        <f>IF(HR[[#This Row],[ Employee Status]]="still working","",YEAR(HR[[#This Row],[ExitDate]]))</f>
        <v>2023</v>
      </c>
      <c r="H695" s="6">
        <v>4910</v>
      </c>
      <c r="I695" s="10">
        <v>4.7300000000000004</v>
      </c>
      <c r="J695" s="10">
        <v>1.76</v>
      </c>
      <c r="K695" s="4">
        <v>19</v>
      </c>
    </row>
    <row r="696" spans="1:11" x14ac:dyDescent="0.3">
      <c r="A696" s="4">
        <v>695</v>
      </c>
      <c r="B696" t="s">
        <v>11</v>
      </c>
      <c r="C696" s="1">
        <v>43142</v>
      </c>
      <c r="D696" s="1">
        <v>43714</v>
      </c>
      <c r="E696" t="s">
        <v>12</v>
      </c>
      <c r="F696" s="11">
        <f ca="1">IF(HR[[#This Row],[ Employee Status]]="exited",HR[[#This Row],[ExitDate]]-HR[[#This Row],[HireDate]],TODAY()-HR[[#This Row],[HireDate]])/365</f>
        <v>1.5671232876712329</v>
      </c>
      <c r="G696" s="4">
        <f>IF(HR[[#This Row],[ Employee Status]]="still working","",YEAR(HR[[#This Row],[ExitDate]]))</f>
        <v>2019</v>
      </c>
      <c r="H696" s="6">
        <v>13148</v>
      </c>
      <c r="I696" s="10">
        <v>4.21</v>
      </c>
      <c r="J696" s="10">
        <v>1.56</v>
      </c>
      <c r="K696" s="4">
        <v>26</v>
      </c>
    </row>
    <row r="697" spans="1:11" x14ac:dyDescent="0.3">
      <c r="A697" s="4">
        <v>696</v>
      </c>
      <c r="B697" t="s">
        <v>10</v>
      </c>
      <c r="C697" s="1">
        <v>43219</v>
      </c>
      <c r="D697" s="1">
        <v>43585</v>
      </c>
      <c r="E697" t="s">
        <v>12</v>
      </c>
      <c r="F697" s="11">
        <f ca="1">IF(HR[[#This Row],[ Employee Status]]="exited",HR[[#This Row],[ExitDate]]-HR[[#This Row],[HireDate]],TODAY()-HR[[#This Row],[HireDate]])/365</f>
        <v>1.0027397260273974</v>
      </c>
      <c r="G697" s="4">
        <f>IF(HR[[#This Row],[ Employee Status]]="still working","",YEAR(HR[[#This Row],[ExitDate]]))</f>
        <v>2019</v>
      </c>
      <c r="H697" s="6">
        <v>5895</v>
      </c>
      <c r="I697" s="10">
        <v>3.51</v>
      </c>
      <c r="J697" s="10">
        <v>1.06</v>
      </c>
      <c r="K697" s="4">
        <v>26</v>
      </c>
    </row>
    <row r="698" spans="1:11" x14ac:dyDescent="0.3">
      <c r="A698" s="4">
        <v>697</v>
      </c>
      <c r="B698" t="s">
        <v>9</v>
      </c>
      <c r="C698" s="1">
        <v>45563</v>
      </c>
      <c r="D698" s="1">
        <v>46719</v>
      </c>
      <c r="E698" t="s">
        <v>12</v>
      </c>
      <c r="F698" s="11">
        <f ca="1">IF(HR[[#This Row],[ Employee Status]]="exited",HR[[#This Row],[ExitDate]]-HR[[#This Row],[HireDate]],TODAY()-HR[[#This Row],[HireDate]])/365</f>
        <v>3.1671232876712327</v>
      </c>
      <c r="G698" s="4">
        <f>IF(HR[[#This Row],[ Employee Status]]="still working","",YEAR(HR[[#This Row],[ExitDate]]))</f>
        <v>2027</v>
      </c>
      <c r="H698" s="6">
        <v>6398</v>
      </c>
      <c r="I698" s="10">
        <v>4.8600000000000003</v>
      </c>
      <c r="J698" s="10">
        <v>4.0199999999999996</v>
      </c>
      <c r="K698" s="4">
        <v>15</v>
      </c>
    </row>
    <row r="699" spans="1:11" x14ac:dyDescent="0.3">
      <c r="A699" s="4">
        <v>698</v>
      </c>
      <c r="B699" t="s">
        <v>14</v>
      </c>
      <c r="C699" s="1">
        <v>43885</v>
      </c>
      <c r="D699" s="1"/>
      <c r="E699" t="s">
        <v>8</v>
      </c>
      <c r="F699" s="11">
        <f ca="1">IF(HR[[#This Row],[ Employee Status]]="exited",HR[[#This Row],[ExitDate]]-HR[[#This Row],[HireDate]],TODAY()-HR[[#This Row],[HireDate]])/365</f>
        <v>6.3698630136986303</v>
      </c>
      <c r="G699" s="4" t="str">
        <f>IF(HR[[#This Row],[ Employee Status]]="still working","",YEAR(HR[[#This Row],[ExitDate]]))</f>
        <v/>
      </c>
      <c r="H699" s="6">
        <v>3001</v>
      </c>
      <c r="I699" s="10">
        <v>3.51</v>
      </c>
      <c r="J699" s="10">
        <v>4.1900000000000004</v>
      </c>
      <c r="K699" s="4">
        <v>8</v>
      </c>
    </row>
    <row r="700" spans="1:11" x14ac:dyDescent="0.3">
      <c r="A700" s="4">
        <v>699</v>
      </c>
      <c r="B700" t="s">
        <v>11</v>
      </c>
      <c r="C700" s="1">
        <v>43319</v>
      </c>
      <c r="D700" s="1"/>
      <c r="E700" t="s">
        <v>8</v>
      </c>
      <c r="F700" s="11">
        <f ca="1">IF(HR[[#This Row],[ Employee Status]]="exited",HR[[#This Row],[ExitDate]]-HR[[#This Row],[HireDate]],TODAY()-HR[[#This Row],[HireDate]])/365</f>
        <v>7.9205479452054792</v>
      </c>
      <c r="G700" s="4" t="str">
        <f>IF(HR[[#This Row],[ Employee Status]]="still working","",YEAR(HR[[#This Row],[ExitDate]]))</f>
        <v/>
      </c>
      <c r="H700" s="6">
        <v>7846</v>
      </c>
      <c r="I700" s="10">
        <v>3.13</v>
      </c>
      <c r="J700" s="10">
        <v>2.65</v>
      </c>
      <c r="K700" s="4">
        <v>22</v>
      </c>
    </row>
    <row r="701" spans="1:11" x14ac:dyDescent="0.3">
      <c r="A701" s="4">
        <v>700</v>
      </c>
      <c r="B701" t="s">
        <v>7</v>
      </c>
      <c r="C701" s="1">
        <v>44237</v>
      </c>
      <c r="D701" s="1">
        <v>45450</v>
      </c>
      <c r="E701" t="s">
        <v>12</v>
      </c>
      <c r="F701" s="11">
        <f ca="1">IF(HR[[#This Row],[ Employee Status]]="exited",HR[[#This Row],[ExitDate]]-HR[[#This Row],[HireDate]],TODAY()-HR[[#This Row],[HireDate]])/365</f>
        <v>3.3232876712328765</v>
      </c>
      <c r="G701" s="4">
        <f>IF(HR[[#This Row],[ Employee Status]]="still working","",YEAR(HR[[#This Row],[ExitDate]]))</f>
        <v>2024</v>
      </c>
      <c r="H701" s="6">
        <v>6918</v>
      </c>
      <c r="I701" s="10">
        <v>2.13</v>
      </c>
      <c r="J701" s="10">
        <v>1.72</v>
      </c>
      <c r="K701" s="4">
        <v>26</v>
      </c>
    </row>
    <row r="702" spans="1:11" x14ac:dyDescent="0.3">
      <c r="A702" s="4">
        <v>701</v>
      </c>
      <c r="B702" t="s">
        <v>7</v>
      </c>
      <c r="C702" s="1">
        <v>44140</v>
      </c>
      <c r="D702" s="1">
        <v>45351</v>
      </c>
      <c r="E702" t="s">
        <v>12</v>
      </c>
      <c r="F702" s="11">
        <f ca="1">IF(HR[[#This Row],[ Employee Status]]="exited",HR[[#This Row],[ExitDate]]-HR[[#This Row],[HireDate]],TODAY()-HR[[#This Row],[HireDate]])/365</f>
        <v>3.3178082191780822</v>
      </c>
      <c r="G702" s="4">
        <f>IF(HR[[#This Row],[ Employee Status]]="still working","",YEAR(HR[[#This Row],[ExitDate]]))</f>
        <v>2024</v>
      </c>
      <c r="H702" s="6">
        <v>4590</v>
      </c>
      <c r="I702" s="10">
        <v>3.86</v>
      </c>
      <c r="J702" s="10">
        <v>2.91</v>
      </c>
      <c r="K702" s="4">
        <v>28</v>
      </c>
    </row>
    <row r="703" spans="1:11" x14ac:dyDescent="0.3">
      <c r="A703" s="4">
        <v>702</v>
      </c>
      <c r="B703" t="s">
        <v>14</v>
      </c>
      <c r="C703" s="1">
        <v>45522</v>
      </c>
      <c r="D703" s="1"/>
      <c r="E703" t="s">
        <v>8</v>
      </c>
      <c r="F703" s="11">
        <f ca="1">IF(HR[[#This Row],[ Employee Status]]="exited",HR[[#This Row],[ExitDate]]-HR[[#This Row],[HireDate]],TODAY()-HR[[#This Row],[HireDate]])/365</f>
        <v>1.8849315068493151</v>
      </c>
      <c r="G703" s="4" t="str">
        <f>IF(HR[[#This Row],[ Employee Status]]="still working","",YEAR(HR[[#This Row],[ExitDate]]))</f>
        <v/>
      </c>
      <c r="H703" s="6">
        <v>5460</v>
      </c>
      <c r="I703" s="10">
        <v>4.75</v>
      </c>
      <c r="J703" s="10">
        <v>4.55</v>
      </c>
      <c r="K703" s="4">
        <v>17</v>
      </c>
    </row>
    <row r="704" spans="1:11" x14ac:dyDescent="0.3">
      <c r="A704" s="4">
        <v>703</v>
      </c>
      <c r="B704" t="s">
        <v>13</v>
      </c>
      <c r="C704" s="1">
        <v>45468</v>
      </c>
      <c r="D704" s="1">
        <v>45726</v>
      </c>
      <c r="E704" t="s">
        <v>12</v>
      </c>
      <c r="F704" s="11">
        <f ca="1">IF(HR[[#This Row],[ Employee Status]]="exited",HR[[#This Row],[ExitDate]]-HR[[#This Row],[HireDate]],TODAY()-HR[[#This Row],[HireDate]])/365</f>
        <v>0.70684931506849313</v>
      </c>
      <c r="G704" s="4">
        <f>IF(HR[[#This Row],[ Employee Status]]="still working","",YEAR(HR[[#This Row],[ExitDate]]))</f>
        <v>2025</v>
      </c>
      <c r="H704" s="6">
        <v>6644</v>
      </c>
      <c r="I704" s="10">
        <v>3.07</v>
      </c>
      <c r="J704" s="10">
        <v>1.59</v>
      </c>
      <c r="K704" s="4">
        <v>1</v>
      </c>
    </row>
    <row r="705" spans="1:11" x14ac:dyDescent="0.3">
      <c r="A705" s="4">
        <v>704</v>
      </c>
      <c r="B705" t="s">
        <v>7</v>
      </c>
      <c r="C705" s="1">
        <v>45166</v>
      </c>
      <c r="D705" s="1"/>
      <c r="E705" t="s">
        <v>8</v>
      </c>
      <c r="F705" s="11">
        <f ca="1">IF(HR[[#This Row],[ Employee Status]]="exited",HR[[#This Row],[ExitDate]]-HR[[#This Row],[HireDate]],TODAY()-HR[[#This Row],[HireDate]])/365</f>
        <v>2.8602739726027395</v>
      </c>
      <c r="G705" s="4" t="str">
        <f>IF(HR[[#This Row],[ Employee Status]]="still working","",YEAR(HR[[#This Row],[ExitDate]]))</f>
        <v/>
      </c>
      <c r="H705" s="6">
        <v>9269</v>
      </c>
      <c r="I705" s="10">
        <v>4.9000000000000004</v>
      </c>
      <c r="J705" s="10">
        <v>3.63</v>
      </c>
      <c r="K705" s="4">
        <v>18</v>
      </c>
    </row>
    <row r="706" spans="1:11" x14ac:dyDescent="0.3">
      <c r="A706" s="4">
        <v>705</v>
      </c>
      <c r="B706" t="s">
        <v>13</v>
      </c>
      <c r="C706" s="1">
        <v>43553</v>
      </c>
      <c r="D706" s="1"/>
      <c r="E706" t="s">
        <v>8</v>
      </c>
      <c r="F706" s="11">
        <f ca="1">IF(HR[[#This Row],[ Employee Status]]="exited",HR[[#This Row],[ExitDate]]-HR[[#This Row],[HireDate]],TODAY()-HR[[#This Row],[HireDate]])/365</f>
        <v>7.279452054794521</v>
      </c>
      <c r="G706" s="4" t="str">
        <f>IF(HR[[#This Row],[ Employee Status]]="still working","",YEAR(HR[[#This Row],[ExitDate]]))</f>
        <v/>
      </c>
      <c r="H706" s="6">
        <v>9175</v>
      </c>
      <c r="I706" s="10">
        <v>2.61</v>
      </c>
      <c r="J706" s="10">
        <v>2.88</v>
      </c>
      <c r="K706" s="4">
        <v>17</v>
      </c>
    </row>
    <row r="707" spans="1:11" x14ac:dyDescent="0.3">
      <c r="A707" s="4">
        <v>706</v>
      </c>
      <c r="B707" t="s">
        <v>9</v>
      </c>
      <c r="C707" s="1">
        <v>43119</v>
      </c>
      <c r="D707" s="1"/>
      <c r="E707" t="s">
        <v>8</v>
      </c>
      <c r="F707" s="11">
        <f ca="1">IF(HR[[#This Row],[ Employee Status]]="exited",HR[[#This Row],[ExitDate]]-HR[[#This Row],[HireDate]],TODAY()-HR[[#This Row],[HireDate]])/365</f>
        <v>8.4684931506849317</v>
      </c>
      <c r="G707" s="4" t="str">
        <f>IF(HR[[#This Row],[ Employee Status]]="still working","",YEAR(HR[[#This Row],[ExitDate]]))</f>
        <v/>
      </c>
      <c r="H707" s="6">
        <v>9257</v>
      </c>
      <c r="I707" s="10">
        <v>4.05</v>
      </c>
      <c r="J707" s="10">
        <v>1.1000000000000001</v>
      </c>
      <c r="K707" s="4">
        <v>25</v>
      </c>
    </row>
    <row r="708" spans="1:11" x14ac:dyDescent="0.3">
      <c r="A708" s="4">
        <v>707</v>
      </c>
      <c r="B708" t="s">
        <v>10</v>
      </c>
      <c r="C708" s="1">
        <v>43782</v>
      </c>
      <c r="D708" s="1"/>
      <c r="E708" t="s">
        <v>8</v>
      </c>
      <c r="F708" s="11">
        <f ca="1">IF(HR[[#This Row],[ Employee Status]]="exited",HR[[#This Row],[ExitDate]]-HR[[#This Row],[HireDate]],TODAY()-HR[[#This Row],[HireDate]])/365</f>
        <v>6.6520547945205477</v>
      </c>
      <c r="G708" s="4" t="str">
        <f>IF(HR[[#This Row],[ Employee Status]]="still working","",YEAR(HR[[#This Row],[ExitDate]]))</f>
        <v/>
      </c>
      <c r="H708" s="6">
        <v>13776</v>
      </c>
      <c r="I708" s="10">
        <v>3.16</v>
      </c>
      <c r="J708" s="10">
        <v>1.32</v>
      </c>
      <c r="K708" s="4">
        <v>7</v>
      </c>
    </row>
    <row r="709" spans="1:11" x14ac:dyDescent="0.3">
      <c r="A709" s="4">
        <v>708</v>
      </c>
      <c r="B709" t="s">
        <v>13</v>
      </c>
      <c r="C709" s="1">
        <v>44965</v>
      </c>
      <c r="D709" s="1"/>
      <c r="E709" t="s">
        <v>8</v>
      </c>
      <c r="F709" s="11">
        <f ca="1">IF(HR[[#This Row],[ Employee Status]]="exited",HR[[#This Row],[ExitDate]]-HR[[#This Row],[HireDate]],TODAY()-HR[[#This Row],[HireDate]])/365</f>
        <v>3.4109589041095889</v>
      </c>
      <c r="G709" s="4" t="str">
        <f>IF(HR[[#This Row],[ Employee Status]]="still working","",YEAR(HR[[#This Row],[ExitDate]]))</f>
        <v/>
      </c>
      <c r="H709" s="6">
        <v>7823</v>
      </c>
      <c r="I709" s="10">
        <v>3.45</v>
      </c>
      <c r="J709" s="10">
        <v>1.49</v>
      </c>
      <c r="K709" s="4">
        <v>8</v>
      </c>
    </row>
    <row r="710" spans="1:11" x14ac:dyDescent="0.3">
      <c r="A710" s="4">
        <v>709</v>
      </c>
      <c r="B710" t="s">
        <v>13</v>
      </c>
      <c r="C710" s="1">
        <v>43469</v>
      </c>
      <c r="D710" s="1"/>
      <c r="E710" t="s">
        <v>8</v>
      </c>
      <c r="F710" s="11">
        <f ca="1">IF(HR[[#This Row],[ Employee Status]]="exited",HR[[#This Row],[ExitDate]]-HR[[#This Row],[HireDate]],TODAY()-HR[[#This Row],[HireDate]])/365</f>
        <v>7.5095890410958903</v>
      </c>
      <c r="G710" s="4" t="str">
        <f>IF(HR[[#This Row],[ Employee Status]]="still working","",YEAR(HR[[#This Row],[ExitDate]]))</f>
        <v/>
      </c>
      <c r="H710" s="6">
        <v>7212</v>
      </c>
      <c r="I710" s="10">
        <v>4.1399999999999997</v>
      </c>
      <c r="J710" s="10">
        <v>1.96</v>
      </c>
      <c r="K710" s="4">
        <v>17</v>
      </c>
    </row>
    <row r="711" spans="1:11" x14ac:dyDescent="0.3">
      <c r="A711" s="4">
        <v>710</v>
      </c>
      <c r="B711" t="s">
        <v>10</v>
      </c>
      <c r="C711" s="1">
        <v>45627</v>
      </c>
      <c r="D711" s="1">
        <v>46664</v>
      </c>
      <c r="E711" t="s">
        <v>12</v>
      </c>
      <c r="F711" s="11">
        <f ca="1">IF(HR[[#This Row],[ Employee Status]]="exited",HR[[#This Row],[ExitDate]]-HR[[#This Row],[HireDate]],TODAY()-HR[[#This Row],[HireDate]])/365</f>
        <v>2.8410958904109589</v>
      </c>
      <c r="G711" s="4">
        <f>IF(HR[[#This Row],[ Employee Status]]="still working","",YEAR(HR[[#This Row],[ExitDate]]))</f>
        <v>2027</v>
      </c>
      <c r="H711" s="6">
        <v>11044</v>
      </c>
      <c r="I711" s="10">
        <v>2.9</v>
      </c>
      <c r="J711" s="10">
        <v>3.4</v>
      </c>
      <c r="K711" s="4">
        <v>16</v>
      </c>
    </row>
    <row r="712" spans="1:11" x14ac:dyDescent="0.3">
      <c r="A712" s="4">
        <v>711</v>
      </c>
      <c r="B712" t="s">
        <v>13</v>
      </c>
      <c r="C712" s="1">
        <v>43511</v>
      </c>
      <c r="D712" s="1"/>
      <c r="E712" t="s">
        <v>8</v>
      </c>
      <c r="F712" s="11">
        <f ca="1">IF(HR[[#This Row],[ Employee Status]]="exited",HR[[#This Row],[ExitDate]]-HR[[#This Row],[HireDate]],TODAY()-HR[[#This Row],[HireDate]])/365</f>
        <v>7.3945205479452056</v>
      </c>
      <c r="G712" s="4" t="str">
        <f>IF(HR[[#This Row],[ Employee Status]]="still working","",YEAR(HR[[#This Row],[ExitDate]]))</f>
        <v/>
      </c>
      <c r="H712" s="6">
        <v>3156</v>
      </c>
      <c r="I712" s="10">
        <v>4.21</v>
      </c>
      <c r="J712" s="10">
        <v>3.39</v>
      </c>
      <c r="K712" s="4">
        <v>10</v>
      </c>
    </row>
    <row r="713" spans="1:11" x14ac:dyDescent="0.3">
      <c r="A713" s="4">
        <v>712</v>
      </c>
      <c r="B713" t="s">
        <v>7</v>
      </c>
      <c r="C713" s="1">
        <v>44209</v>
      </c>
      <c r="D713" s="1"/>
      <c r="E713" t="s">
        <v>8</v>
      </c>
      <c r="F713" s="11">
        <f ca="1">IF(HR[[#This Row],[ Employee Status]]="exited",HR[[#This Row],[ExitDate]]-HR[[#This Row],[HireDate]],TODAY()-HR[[#This Row],[HireDate]])/365</f>
        <v>5.4821917808219176</v>
      </c>
      <c r="G713" s="4" t="str">
        <f>IF(HR[[#This Row],[ Employee Status]]="still working","",YEAR(HR[[#This Row],[ExitDate]]))</f>
        <v/>
      </c>
      <c r="H713" s="6">
        <v>10246</v>
      </c>
      <c r="I713" s="10">
        <v>4.62</v>
      </c>
      <c r="J713" s="10">
        <v>1.35</v>
      </c>
      <c r="K713" s="4">
        <v>25</v>
      </c>
    </row>
    <row r="714" spans="1:11" x14ac:dyDescent="0.3">
      <c r="A714" s="4">
        <v>713</v>
      </c>
      <c r="B714" t="s">
        <v>10</v>
      </c>
      <c r="C714" s="1">
        <v>44862</v>
      </c>
      <c r="D714" s="1"/>
      <c r="E714" t="s">
        <v>8</v>
      </c>
      <c r="F714" s="11">
        <f ca="1">IF(HR[[#This Row],[ Employee Status]]="exited",HR[[#This Row],[ExitDate]]-HR[[#This Row],[HireDate]],TODAY()-HR[[#This Row],[HireDate]])/365</f>
        <v>3.6931506849315068</v>
      </c>
      <c r="G714" s="4" t="str">
        <f>IF(HR[[#This Row],[ Employee Status]]="still working","",YEAR(HR[[#This Row],[ExitDate]]))</f>
        <v/>
      </c>
      <c r="H714" s="6">
        <v>10853</v>
      </c>
      <c r="I714" s="10">
        <v>3.47</v>
      </c>
      <c r="J714" s="10">
        <v>2.41</v>
      </c>
      <c r="K714" s="4">
        <v>9</v>
      </c>
    </row>
    <row r="715" spans="1:11" x14ac:dyDescent="0.3">
      <c r="A715" s="4">
        <v>714</v>
      </c>
      <c r="B715" t="s">
        <v>9</v>
      </c>
      <c r="C715" s="1">
        <v>44269</v>
      </c>
      <c r="D715" s="1"/>
      <c r="E715" t="s">
        <v>8</v>
      </c>
      <c r="F715" s="11">
        <f ca="1">IF(HR[[#This Row],[ Employee Status]]="exited",HR[[#This Row],[ExitDate]]-HR[[#This Row],[HireDate]],TODAY()-HR[[#This Row],[HireDate]])/365</f>
        <v>5.3178082191780822</v>
      </c>
      <c r="G715" s="4" t="str">
        <f>IF(HR[[#This Row],[ Employee Status]]="still working","",YEAR(HR[[#This Row],[ExitDate]]))</f>
        <v/>
      </c>
      <c r="H715" s="6">
        <v>11096</v>
      </c>
      <c r="I715" s="10">
        <v>4.18</v>
      </c>
      <c r="J715" s="10">
        <v>4.1900000000000004</v>
      </c>
      <c r="K715" s="4">
        <v>25</v>
      </c>
    </row>
    <row r="716" spans="1:11" x14ac:dyDescent="0.3">
      <c r="A716" s="4">
        <v>715</v>
      </c>
      <c r="B716" t="s">
        <v>9</v>
      </c>
      <c r="C716" s="1">
        <v>45305</v>
      </c>
      <c r="D716" s="1"/>
      <c r="E716" t="s">
        <v>8</v>
      </c>
      <c r="F716" s="11">
        <f ca="1">IF(HR[[#This Row],[ Employee Status]]="exited",HR[[#This Row],[ExitDate]]-HR[[#This Row],[HireDate]],TODAY()-HR[[#This Row],[HireDate]])/365</f>
        <v>2.4794520547945207</v>
      </c>
      <c r="G716" s="4" t="str">
        <f>IF(HR[[#This Row],[ Employee Status]]="still working","",YEAR(HR[[#This Row],[ExitDate]]))</f>
        <v/>
      </c>
      <c r="H716" s="6">
        <v>10011</v>
      </c>
      <c r="I716" s="10">
        <v>4.22</v>
      </c>
      <c r="J716" s="10">
        <v>4.22</v>
      </c>
      <c r="K716" s="4">
        <v>28</v>
      </c>
    </row>
    <row r="717" spans="1:11" x14ac:dyDescent="0.3">
      <c r="A717" s="4">
        <v>716</v>
      </c>
      <c r="B717" t="s">
        <v>13</v>
      </c>
      <c r="C717" s="1">
        <v>44954</v>
      </c>
      <c r="D717" s="1"/>
      <c r="E717" t="s">
        <v>8</v>
      </c>
      <c r="F717" s="11">
        <f ca="1">IF(HR[[#This Row],[ Employee Status]]="exited",HR[[#This Row],[ExitDate]]-HR[[#This Row],[HireDate]],TODAY()-HR[[#This Row],[HireDate]])/365</f>
        <v>3.441095890410959</v>
      </c>
      <c r="G717" s="4" t="str">
        <f>IF(HR[[#This Row],[ Employee Status]]="still working","",YEAR(HR[[#This Row],[ExitDate]]))</f>
        <v/>
      </c>
      <c r="H717" s="6">
        <v>8960</v>
      </c>
      <c r="I717" s="10">
        <v>3.16</v>
      </c>
      <c r="J717" s="10">
        <v>3.33</v>
      </c>
      <c r="K717" s="4">
        <v>6</v>
      </c>
    </row>
    <row r="718" spans="1:11" x14ac:dyDescent="0.3">
      <c r="A718" s="4">
        <v>717</v>
      </c>
      <c r="B718" t="s">
        <v>9</v>
      </c>
      <c r="C718" s="1">
        <v>45059</v>
      </c>
      <c r="D718" s="1"/>
      <c r="E718" t="s">
        <v>8</v>
      </c>
      <c r="F718" s="11">
        <f ca="1">IF(HR[[#This Row],[ Employee Status]]="exited",HR[[#This Row],[ExitDate]]-HR[[#This Row],[HireDate]],TODAY()-HR[[#This Row],[HireDate]])/365</f>
        <v>3.1534246575342464</v>
      </c>
      <c r="G718" s="4" t="str">
        <f>IF(HR[[#This Row],[ Employee Status]]="still working","",YEAR(HR[[#This Row],[ExitDate]]))</f>
        <v/>
      </c>
      <c r="H718" s="6">
        <v>14334</v>
      </c>
      <c r="I718" s="10">
        <v>2.61</v>
      </c>
      <c r="J718" s="10">
        <v>2.17</v>
      </c>
      <c r="K718" s="4">
        <v>25</v>
      </c>
    </row>
    <row r="719" spans="1:11" x14ac:dyDescent="0.3">
      <c r="A719" s="4">
        <v>718</v>
      </c>
      <c r="B719" t="s">
        <v>9</v>
      </c>
      <c r="C719" s="1">
        <v>44883</v>
      </c>
      <c r="D719" s="1"/>
      <c r="E719" t="s">
        <v>8</v>
      </c>
      <c r="F719" s="11">
        <f ca="1">IF(HR[[#This Row],[ Employee Status]]="exited",HR[[#This Row],[ExitDate]]-HR[[#This Row],[HireDate]],TODAY()-HR[[#This Row],[HireDate]])/365</f>
        <v>3.6356164383561644</v>
      </c>
      <c r="G719" s="4" t="str">
        <f>IF(HR[[#This Row],[ Employee Status]]="still working","",YEAR(HR[[#This Row],[ExitDate]]))</f>
        <v/>
      </c>
      <c r="H719" s="6">
        <v>8694</v>
      </c>
      <c r="I719" s="10">
        <v>3.19</v>
      </c>
      <c r="J719" s="10">
        <v>3.45</v>
      </c>
      <c r="K719" s="4">
        <v>11</v>
      </c>
    </row>
    <row r="720" spans="1:11" x14ac:dyDescent="0.3">
      <c r="A720" s="4">
        <v>719</v>
      </c>
      <c r="B720" t="s">
        <v>9</v>
      </c>
      <c r="C720" s="1">
        <v>44523</v>
      </c>
      <c r="D720" s="1"/>
      <c r="E720" t="s">
        <v>8</v>
      </c>
      <c r="F720" s="11">
        <f ca="1">IF(HR[[#This Row],[ Employee Status]]="exited",HR[[#This Row],[ExitDate]]-HR[[#This Row],[HireDate]],TODAY()-HR[[#This Row],[HireDate]])/365</f>
        <v>4.6219178082191785</v>
      </c>
      <c r="G720" s="4" t="str">
        <f>IF(HR[[#This Row],[ Employee Status]]="still working","",YEAR(HR[[#This Row],[ExitDate]]))</f>
        <v/>
      </c>
      <c r="H720" s="6">
        <v>7825</v>
      </c>
      <c r="I720" s="10">
        <v>2.76</v>
      </c>
      <c r="J720" s="10">
        <v>2.79</v>
      </c>
      <c r="K720" s="4">
        <v>25</v>
      </c>
    </row>
    <row r="721" spans="1:11" x14ac:dyDescent="0.3">
      <c r="A721" s="4">
        <v>720</v>
      </c>
      <c r="B721" t="s">
        <v>9</v>
      </c>
      <c r="C721" s="1">
        <v>44665</v>
      </c>
      <c r="D721" s="1"/>
      <c r="E721" t="s">
        <v>8</v>
      </c>
      <c r="F721" s="11">
        <f ca="1">IF(HR[[#This Row],[ Employee Status]]="exited",HR[[#This Row],[ExitDate]]-HR[[#This Row],[HireDate]],TODAY()-HR[[#This Row],[HireDate]])/365</f>
        <v>4.2328767123287667</v>
      </c>
      <c r="G721" s="4" t="str">
        <f>IF(HR[[#This Row],[ Employee Status]]="still working","",YEAR(HR[[#This Row],[ExitDate]]))</f>
        <v/>
      </c>
      <c r="H721" s="6">
        <v>8960</v>
      </c>
      <c r="I721" s="10">
        <v>2.73</v>
      </c>
      <c r="J721" s="10">
        <v>3.65</v>
      </c>
      <c r="K721" s="4">
        <v>29</v>
      </c>
    </row>
    <row r="722" spans="1:11" x14ac:dyDescent="0.3">
      <c r="A722" s="4">
        <v>721</v>
      </c>
      <c r="B722" t="s">
        <v>10</v>
      </c>
      <c r="C722" s="1">
        <v>43255</v>
      </c>
      <c r="D722" s="1"/>
      <c r="E722" t="s">
        <v>8</v>
      </c>
      <c r="F722" s="11">
        <f ca="1">IF(HR[[#This Row],[ Employee Status]]="exited",HR[[#This Row],[ExitDate]]-HR[[#This Row],[HireDate]],TODAY()-HR[[#This Row],[HireDate]])/365</f>
        <v>8.0958904109589049</v>
      </c>
      <c r="G722" s="4" t="str">
        <f>IF(HR[[#This Row],[ Employee Status]]="still working","",YEAR(HR[[#This Row],[ExitDate]]))</f>
        <v/>
      </c>
      <c r="H722" s="6">
        <v>4299</v>
      </c>
      <c r="I722" s="10">
        <v>4.1900000000000004</v>
      </c>
      <c r="J722" s="10">
        <v>4.08</v>
      </c>
      <c r="K722" s="4">
        <v>3</v>
      </c>
    </row>
    <row r="723" spans="1:11" x14ac:dyDescent="0.3">
      <c r="A723" s="4">
        <v>722</v>
      </c>
      <c r="B723" t="s">
        <v>14</v>
      </c>
      <c r="C723" s="1">
        <v>45226</v>
      </c>
      <c r="D723" s="1"/>
      <c r="E723" t="s">
        <v>8</v>
      </c>
      <c r="F723" s="11">
        <f ca="1">IF(HR[[#This Row],[ Employee Status]]="exited",HR[[#This Row],[ExitDate]]-HR[[#This Row],[HireDate]],TODAY()-HR[[#This Row],[HireDate]])/365</f>
        <v>2.6958904109589041</v>
      </c>
      <c r="G723" s="4" t="str">
        <f>IF(HR[[#This Row],[ Employee Status]]="still working","",YEAR(HR[[#This Row],[ExitDate]]))</f>
        <v/>
      </c>
      <c r="H723" s="6">
        <v>5721</v>
      </c>
      <c r="I723" s="10">
        <v>3.49</v>
      </c>
      <c r="J723" s="10">
        <v>1.71</v>
      </c>
      <c r="K723" s="4">
        <v>17</v>
      </c>
    </row>
    <row r="724" spans="1:11" x14ac:dyDescent="0.3">
      <c r="A724" s="4">
        <v>723</v>
      </c>
      <c r="B724" t="s">
        <v>14</v>
      </c>
      <c r="C724" s="1">
        <v>44345</v>
      </c>
      <c r="D724" s="1"/>
      <c r="E724" t="s">
        <v>8</v>
      </c>
      <c r="F724" s="11">
        <f ca="1">IF(HR[[#This Row],[ Employee Status]]="exited",HR[[#This Row],[ExitDate]]-HR[[#This Row],[HireDate]],TODAY()-HR[[#This Row],[HireDate]])/365</f>
        <v>5.1095890410958908</v>
      </c>
      <c r="G724" s="4" t="str">
        <f>IF(HR[[#This Row],[ Employee Status]]="still working","",YEAR(HR[[#This Row],[ExitDate]]))</f>
        <v/>
      </c>
      <c r="H724" s="6">
        <v>8365</v>
      </c>
      <c r="I724" s="10">
        <v>3.42</v>
      </c>
      <c r="J724" s="10">
        <v>4.42</v>
      </c>
      <c r="K724" s="4">
        <v>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E5BE-3106-4B81-B814-05AFE40B5AE0}">
  <dimension ref="A2:G74"/>
  <sheetViews>
    <sheetView zoomScale="70" zoomScaleNormal="70" workbookViewId="0">
      <selection activeCell="C9" sqref="C9"/>
    </sheetView>
  </sheetViews>
  <sheetFormatPr defaultRowHeight="14.4" x14ac:dyDescent="0.3"/>
  <cols>
    <col min="1" max="1" width="13.88671875" bestFit="1" customWidth="1"/>
    <col min="2" max="2" width="19.6640625" bestFit="1" customWidth="1"/>
    <col min="3" max="3" width="12" bestFit="1" customWidth="1"/>
    <col min="4" max="4" width="10.77734375" bestFit="1" customWidth="1"/>
    <col min="5" max="5" width="17.5546875" bestFit="1" customWidth="1"/>
    <col min="6" max="6" width="13.88671875" bestFit="1" customWidth="1"/>
    <col min="7" max="7" width="19.6640625" bestFit="1" customWidth="1"/>
    <col min="8" max="8" width="12.5546875" bestFit="1" customWidth="1"/>
    <col min="9" max="9" width="11.44140625" bestFit="1" customWidth="1"/>
  </cols>
  <sheetData>
    <row r="2" spans="1:7" x14ac:dyDescent="0.3">
      <c r="F2" s="2" t="s">
        <v>20</v>
      </c>
      <c r="G2" t="s">
        <v>12</v>
      </c>
    </row>
    <row r="3" spans="1:7" x14ac:dyDescent="0.3">
      <c r="A3" s="2" t="s">
        <v>15</v>
      </c>
      <c r="B3" t="s">
        <v>18</v>
      </c>
    </row>
    <row r="4" spans="1:7" x14ac:dyDescent="0.3">
      <c r="A4" s="3" t="s">
        <v>12</v>
      </c>
      <c r="B4">
        <v>173</v>
      </c>
      <c r="F4" s="2" t="s">
        <v>15</v>
      </c>
      <c r="G4" t="s">
        <v>18</v>
      </c>
    </row>
    <row r="5" spans="1:7" x14ac:dyDescent="0.3">
      <c r="A5" s="3" t="s">
        <v>8</v>
      </c>
      <c r="B5">
        <v>550</v>
      </c>
      <c r="F5" s="3" t="s">
        <v>27</v>
      </c>
      <c r="G5">
        <v>3</v>
      </c>
    </row>
    <row r="6" spans="1:7" x14ac:dyDescent="0.3">
      <c r="A6" s="3" t="s">
        <v>21</v>
      </c>
      <c r="B6">
        <v>723</v>
      </c>
      <c r="C6">
        <f>GETPIVOTDATA("EmployeeID",$A$3)</f>
        <v>723</v>
      </c>
      <c r="F6" s="3" t="s">
        <v>28</v>
      </c>
      <c r="G6">
        <v>9</v>
      </c>
    </row>
    <row r="7" spans="1:7" x14ac:dyDescent="0.3">
      <c r="A7" s="3"/>
      <c r="D7" t="s">
        <v>23</v>
      </c>
      <c r="F7" s="3" t="s">
        <v>29</v>
      </c>
      <c r="G7">
        <v>11</v>
      </c>
    </row>
    <row r="8" spans="1:7" x14ac:dyDescent="0.3">
      <c r="A8" s="2" t="s">
        <v>15</v>
      </c>
      <c r="B8" t="s">
        <v>18</v>
      </c>
      <c r="F8" s="3" t="s">
        <v>30</v>
      </c>
      <c r="G8">
        <v>24</v>
      </c>
    </row>
    <row r="9" spans="1:7" x14ac:dyDescent="0.3">
      <c r="A9" s="3" t="s">
        <v>12</v>
      </c>
      <c r="B9" s="5">
        <v>0.2392807745504841</v>
      </c>
      <c r="C9" s="12">
        <f>GETPIVOTDATA("EmployeeID",$A$8," Employee Status","Exited")</f>
        <v>0.2392807745504841</v>
      </c>
      <c r="F9" s="3" t="s">
        <v>31</v>
      </c>
      <c r="G9">
        <v>25</v>
      </c>
    </row>
    <row r="10" spans="1:7" x14ac:dyDescent="0.3">
      <c r="A10" s="3" t="s">
        <v>8</v>
      </c>
      <c r="B10" s="5">
        <v>0.76071922544951587</v>
      </c>
      <c r="C10" s="12">
        <f>GETPIVOTDATA("EmployeeID",$A$8," Employee Status","Still Working")</f>
        <v>0.76071922544951587</v>
      </c>
      <c r="F10" s="3" t="s">
        <v>32</v>
      </c>
      <c r="G10">
        <v>29</v>
      </c>
    </row>
    <row r="11" spans="1:7" x14ac:dyDescent="0.3">
      <c r="A11" s="3" t="s">
        <v>21</v>
      </c>
      <c r="B11" s="5">
        <v>1</v>
      </c>
      <c r="F11" s="3" t="s">
        <v>33</v>
      </c>
      <c r="G11">
        <v>25</v>
      </c>
    </row>
    <row r="12" spans="1:7" x14ac:dyDescent="0.3">
      <c r="F12" s="3" t="s">
        <v>34</v>
      </c>
      <c r="G12">
        <v>16</v>
      </c>
    </row>
    <row r="13" spans="1:7" x14ac:dyDescent="0.3">
      <c r="F13" s="3" t="s">
        <v>35</v>
      </c>
      <c r="G13">
        <v>16</v>
      </c>
    </row>
    <row r="14" spans="1:7" x14ac:dyDescent="0.3">
      <c r="A14" s="2" t="s">
        <v>22</v>
      </c>
      <c r="B14" s="2" t="s">
        <v>19</v>
      </c>
      <c r="F14" s="3" t="s">
        <v>36</v>
      </c>
      <c r="G14">
        <v>14</v>
      </c>
    </row>
    <row r="15" spans="1:7" x14ac:dyDescent="0.3">
      <c r="A15" s="2" t="s">
        <v>15</v>
      </c>
      <c r="B15" t="s">
        <v>12</v>
      </c>
      <c r="C15" t="s">
        <v>8</v>
      </c>
      <c r="F15" s="3" t="s">
        <v>37</v>
      </c>
      <c r="G15">
        <v>1</v>
      </c>
    </row>
    <row r="16" spans="1:7" x14ac:dyDescent="0.3">
      <c r="A16" s="3" t="s">
        <v>9</v>
      </c>
      <c r="B16" s="5">
        <v>0.21739130434782608</v>
      </c>
      <c r="C16" s="13">
        <v>0.78260869565217395</v>
      </c>
      <c r="F16" s="3" t="s">
        <v>21</v>
      </c>
      <c r="G16">
        <v>173</v>
      </c>
    </row>
    <row r="17" spans="1:6" x14ac:dyDescent="0.3">
      <c r="A17" s="3" t="s">
        <v>10</v>
      </c>
      <c r="B17" s="5">
        <v>0.25217391304347825</v>
      </c>
      <c r="C17" s="13">
        <v>0.74782608695652175</v>
      </c>
    </row>
    <row r="18" spans="1:6" x14ac:dyDescent="0.3">
      <c r="A18" s="3" t="s">
        <v>13</v>
      </c>
      <c r="B18" s="5">
        <v>0.21551724137931033</v>
      </c>
      <c r="C18" s="13">
        <v>0.78448275862068961</v>
      </c>
    </row>
    <row r="19" spans="1:6" x14ac:dyDescent="0.3">
      <c r="A19" s="3" t="s">
        <v>11</v>
      </c>
      <c r="B19" s="5">
        <v>0.27272727272727271</v>
      </c>
      <c r="C19" s="13">
        <v>0.72727272727272729</v>
      </c>
      <c r="F19" s="2" t="s">
        <v>15</v>
      </c>
    </row>
    <row r="20" spans="1:6" x14ac:dyDescent="0.3">
      <c r="A20" s="3" t="s">
        <v>7</v>
      </c>
      <c r="B20" s="5">
        <v>0.25196850393700787</v>
      </c>
      <c r="C20" s="13">
        <v>0.74803149606299213</v>
      </c>
      <c r="F20" s="3" t="s">
        <v>27</v>
      </c>
    </row>
    <row r="21" spans="1:6" x14ac:dyDescent="0.3">
      <c r="A21" s="3" t="s">
        <v>14</v>
      </c>
      <c r="B21" s="5">
        <v>0.22480620155038761</v>
      </c>
      <c r="C21" s="13">
        <v>0.77519379844961245</v>
      </c>
      <c r="F21" s="3" t="s">
        <v>28</v>
      </c>
    </row>
    <row r="22" spans="1:6" x14ac:dyDescent="0.3">
      <c r="F22" s="3" t="s">
        <v>29</v>
      </c>
    </row>
    <row r="23" spans="1:6" x14ac:dyDescent="0.3">
      <c r="A23" s="7" t="s">
        <v>16</v>
      </c>
      <c r="B23" s="7"/>
      <c r="F23" s="3" t="s">
        <v>30</v>
      </c>
    </row>
    <row r="24" spans="1:6" x14ac:dyDescent="0.3">
      <c r="A24" s="7">
        <v>8959.7095435684641</v>
      </c>
      <c r="B24" s="7">
        <f>GETPIVOTDATA("Salary",$A$23)</f>
        <v>8959.7095435684641</v>
      </c>
      <c r="F24" s="3" t="s">
        <v>31</v>
      </c>
    </row>
    <row r="25" spans="1:6" x14ac:dyDescent="0.3">
      <c r="A25" s="7"/>
      <c r="B25" s="7"/>
      <c r="F25" s="3" t="s">
        <v>32</v>
      </c>
    </row>
    <row r="26" spans="1:6" x14ac:dyDescent="0.3">
      <c r="A26" s="8" t="s">
        <v>16</v>
      </c>
      <c r="B26" s="8" t="s">
        <v>19</v>
      </c>
      <c r="C26" s="7"/>
      <c r="F26" s="3" t="s">
        <v>33</v>
      </c>
    </row>
    <row r="27" spans="1:6" x14ac:dyDescent="0.3">
      <c r="A27" s="8" t="s">
        <v>15</v>
      </c>
      <c r="B27" s="7" t="s">
        <v>12</v>
      </c>
      <c r="C27" s="7" t="s">
        <v>8</v>
      </c>
      <c r="F27" s="3" t="s">
        <v>34</v>
      </c>
    </row>
    <row r="28" spans="1:6" x14ac:dyDescent="0.3">
      <c r="A28" s="9" t="s">
        <v>9</v>
      </c>
      <c r="B28" s="6">
        <v>10312.68</v>
      </c>
      <c r="C28" s="6">
        <v>8977.1</v>
      </c>
      <c r="F28" s="3" t="s">
        <v>35</v>
      </c>
    </row>
    <row r="29" spans="1:6" x14ac:dyDescent="0.3">
      <c r="A29" s="9" t="s">
        <v>13</v>
      </c>
      <c r="B29" s="6">
        <v>8219.6</v>
      </c>
      <c r="C29" s="6">
        <v>8740.2527472527472</v>
      </c>
      <c r="F29" s="3" t="s">
        <v>36</v>
      </c>
    </row>
    <row r="30" spans="1:6" x14ac:dyDescent="0.3">
      <c r="A30" s="9" t="s">
        <v>10</v>
      </c>
      <c r="B30" s="6">
        <v>9417.310344827587</v>
      </c>
      <c r="C30" s="6">
        <v>8502.9534883720935</v>
      </c>
      <c r="F30" s="3" t="s">
        <v>37</v>
      </c>
    </row>
    <row r="31" spans="1:6" x14ac:dyDescent="0.3">
      <c r="A31" s="9" t="s">
        <v>7</v>
      </c>
      <c r="B31" s="6">
        <v>8422.59375</v>
      </c>
      <c r="C31" s="6">
        <v>8846.0210526315786</v>
      </c>
      <c r="F31" s="3" t="s">
        <v>21</v>
      </c>
    </row>
    <row r="32" spans="1:6" x14ac:dyDescent="0.3">
      <c r="A32" s="9" t="s">
        <v>11</v>
      </c>
      <c r="B32" s="6">
        <v>10157.212121212122</v>
      </c>
      <c r="C32" s="6">
        <v>9242.204545454546</v>
      </c>
    </row>
    <row r="33" spans="1:3" x14ac:dyDescent="0.3">
      <c r="A33" s="9" t="s">
        <v>14</v>
      </c>
      <c r="B33" s="6">
        <v>8405.3448275862065</v>
      </c>
      <c r="C33" s="6">
        <v>9047.5300000000007</v>
      </c>
    </row>
    <row r="35" spans="1:3" x14ac:dyDescent="0.3">
      <c r="A35" s="7" t="s">
        <v>24</v>
      </c>
    </row>
    <row r="36" spans="1:3" x14ac:dyDescent="0.3">
      <c r="A36" s="10">
        <v>3.4604011065006919</v>
      </c>
      <c r="B36" s="10">
        <f>GETPIVOTDATA("PerformanceScore",$A$35)</f>
        <v>3.4604011065006919</v>
      </c>
    </row>
    <row r="38" spans="1:3" x14ac:dyDescent="0.3">
      <c r="A38" s="8" t="s">
        <v>24</v>
      </c>
      <c r="B38" s="8" t="s">
        <v>19</v>
      </c>
      <c r="C38" s="7"/>
    </row>
    <row r="39" spans="1:3" x14ac:dyDescent="0.3">
      <c r="A39" s="8" t="s">
        <v>15</v>
      </c>
      <c r="B39" s="7" t="s">
        <v>12</v>
      </c>
      <c r="C39" s="7" t="s">
        <v>8</v>
      </c>
    </row>
    <row r="40" spans="1:3" x14ac:dyDescent="0.3">
      <c r="A40" s="9" t="s">
        <v>9</v>
      </c>
      <c r="B40" s="11">
        <v>3.4404000000000003</v>
      </c>
      <c r="C40" s="11">
        <v>3.5259999999999989</v>
      </c>
    </row>
    <row r="41" spans="1:3" x14ac:dyDescent="0.3">
      <c r="A41" s="9" t="s">
        <v>13</v>
      </c>
      <c r="B41" s="11">
        <v>3.3136000000000001</v>
      </c>
      <c r="C41" s="11">
        <v>3.4082417582417586</v>
      </c>
    </row>
    <row r="42" spans="1:3" x14ac:dyDescent="0.3">
      <c r="A42" s="9" t="s">
        <v>10</v>
      </c>
      <c r="B42" s="11">
        <v>3.3575862068965523</v>
      </c>
      <c r="C42" s="11">
        <v>3.3530232558139543</v>
      </c>
    </row>
    <row r="43" spans="1:3" x14ac:dyDescent="0.3">
      <c r="A43" s="9" t="s">
        <v>7</v>
      </c>
      <c r="B43" s="11">
        <v>3.4393749999999996</v>
      </c>
      <c r="C43" s="11">
        <v>3.4662105263157872</v>
      </c>
    </row>
    <row r="44" spans="1:3" x14ac:dyDescent="0.3">
      <c r="A44" s="9" t="s">
        <v>11</v>
      </c>
      <c r="B44" s="11">
        <v>3.3099999999999992</v>
      </c>
      <c r="C44" s="11">
        <v>3.4631818181818188</v>
      </c>
    </row>
    <row r="45" spans="1:3" x14ac:dyDescent="0.3">
      <c r="A45" s="9" t="s">
        <v>14</v>
      </c>
      <c r="B45" s="11">
        <v>3.4813793103448272</v>
      </c>
      <c r="C45" s="11">
        <v>3.6549999999999998</v>
      </c>
    </row>
    <row r="46" spans="1:3" x14ac:dyDescent="0.3">
      <c r="A46" s="9"/>
      <c r="B46" s="7"/>
    </row>
    <row r="47" spans="1:3" x14ac:dyDescent="0.3">
      <c r="A47" s="9"/>
      <c r="B47" s="7"/>
    </row>
    <row r="49" spans="1:2" x14ac:dyDescent="0.3">
      <c r="A49" s="7" t="s">
        <v>25</v>
      </c>
    </row>
    <row r="50" spans="1:2" x14ac:dyDescent="0.3">
      <c r="A50" s="10">
        <v>2.9630428769017945</v>
      </c>
      <c r="B50" s="10">
        <f>GETPIVOTDATA("EngagementScore",$A$49)</f>
        <v>2.9630428769017945</v>
      </c>
    </row>
    <row r="52" spans="1:2" x14ac:dyDescent="0.3">
      <c r="A52" s="8" t="s">
        <v>15</v>
      </c>
      <c r="B52" s="7" t="s">
        <v>25</v>
      </c>
    </row>
    <row r="53" spans="1:2" x14ac:dyDescent="0.3">
      <c r="A53" s="9" t="s">
        <v>12</v>
      </c>
      <c r="B53" s="7">
        <v>3.0065317919075136</v>
      </c>
    </row>
    <row r="54" spans="1:2" x14ac:dyDescent="0.3">
      <c r="A54" s="9" t="s">
        <v>8</v>
      </c>
      <c r="B54" s="7">
        <v>2.9493636363636369</v>
      </c>
    </row>
    <row r="56" spans="1:2" x14ac:dyDescent="0.3">
      <c r="A56" s="7" t="s">
        <v>38</v>
      </c>
    </row>
    <row r="57" spans="1:2" x14ac:dyDescent="0.3">
      <c r="A57" s="4">
        <v>14.969571230982019</v>
      </c>
      <c r="B57" s="4">
        <f>GETPIVOTDATA("AbsentDays",$A$56)</f>
        <v>14.969571230982019</v>
      </c>
    </row>
    <row r="59" spans="1:2" x14ac:dyDescent="0.3">
      <c r="A59" s="8" t="s">
        <v>15</v>
      </c>
      <c r="B59" s="7" t="s">
        <v>38</v>
      </c>
    </row>
    <row r="60" spans="1:2" x14ac:dyDescent="0.3">
      <c r="A60" s="9" t="s">
        <v>12</v>
      </c>
      <c r="B60" s="11">
        <v>15.497109826589595</v>
      </c>
    </row>
    <row r="61" spans="1:2" x14ac:dyDescent="0.3">
      <c r="A61" s="9" t="s">
        <v>8</v>
      </c>
      <c r="B61" s="11">
        <v>14.803636363636363</v>
      </c>
    </row>
    <row r="69" spans="1:2" x14ac:dyDescent="0.3">
      <c r="A69" s="7" t="s">
        <v>39</v>
      </c>
    </row>
    <row r="70" spans="1:2" x14ac:dyDescent="0.3">
      <c r="A70" s="4">
        <v>4.1800981450955907</v>
      </c>
      <c r="B70" s="4">
        <f>GETPIVOTDATA("Tenure",$A$69)</f>
        <v>4.1800981450955907</v>
      </c>
    </row>
    <row r="72" spans="1:2" x14ac:dyDescent="0.3">
      <c r="A72" s="8" t="s">
        <v>15</v>
      </c>
      <c r="B72" s="7" t="s">
        <v>39</v>
      </c>
    </row>
    <row r="73" spans="1:2" x14ac:dyDescent="0.3">
      <c r="A73" s="9" t="s">
        <v>12</v>
      </c>
      <c r="B73" s="4">
        <v>2.1475334547470113</v>
      </c>
    </row>
    <row r="74" spans="1:2" x14ac:dyDescent="0.3">
      <c r="A74" s="9" t="s">
        <v>8</v>
      </c>
      <c r="B74" s="4">
        <v>4.8194321295143245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55475-840D-4A61-845D-D217FBD775B9}">
  <dimension ref="A1"/>
  <sheetViews>
    <sheetView showGridLines="0" tabSelected="1" zoomScale="75" zoomScaleNormal="75" workbookViewId="0">
      <selection activeCell="AF7" sqref="AF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00911F-5E3C-4308-AF56-26683E93C7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hamed</dc:creator>
  <cp:lastModifiedBy>Kareem Abdelkade</cp:lastModifiedBy>
  <dcterms:created xsi:type="dcterms:W3CDTF">2015-06-05T18:17:20Z</dcterms:created>
  <dcterms:modified xsi:type="dcterms:W3CDTF">2026-07-07T09:08:04Z</dcterms:modified>
</cp:coreProperties>
</file>